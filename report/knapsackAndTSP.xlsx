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zGit\NPcompleteBase\KnapsackP1\KnapsackP2\report\"/>
    </mc:Choice>
  </mc:AlternateContent>
  <xr:revisionPtr revIDLastSave="0" documentId="13_ncr:1_{BEAD67CD-A511-4234-BE6C-CE7F3233E6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Result" sheetId="1" r:id="rId1"/>
    <sheet name="overLogN" sheetId="2" r:id="rId2"/>
    <sheet name="overLogN^2" sheetId="3" r:id="rId3"/>
    <sheet name="overLogN^3" sheetId="4" r:id="rId4"/>
    <sheet name="overLogN^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" l="1"/>
  <c r="Y37" i="1"/>
  <c r="X37" i="1"/>
  <c r="W37" i="1"/>
  <c r="Z36" i="1"/>
  <c r="Y36" i="1"/>
  <c r="X36" i="1"/>
  <c r="W36" i="1"/>
  <c r="Z35" i="1"/>
  <c r="Y35" i="1"/>
  <c r="X35" i="1"/>
  <c r="W35" i="1"/>
  <c r="Z34" i="1"/>
  <c r="Y34" i="1"/>
  <c r="X34" i="1"/>
  <c r="W34" i="1"/>
  <c r="Z33" i="1"/>
  <c r="Y33" i="1"/>
  <c r="X33" i="1"/>
  <c r="W33" i="1"/>
  <c r="Z32" i="1"/>
  <c r="Y32" i="1"/>
  <c r="X32" i="1"/>
  <c r="W32" i="1"/>
  <c r="Z31" i="1"/>
  <c r="Y31" i="1"/>
  <c r="X31" i="1"/>
  <c r="W31" i="1"/>
  <c r="Z30" i="1"/>
  <c r="Y30" i="1"/>
  <c r="X30" i="1"/>
  <c r="W30" i="1"/>
  <c r="Z29" i="1"/>
  <c r="Y29" i="1"/>
  <c r="X29" i="1"/>
  <c r="W29" i="1"/>
  <c r="Z28" i="1"/>
  <c r="Y28" i="1"/>
  <c r="X28" i="1"/>
  <c r="W28" i="1"/>
  <c r="Z27" i="1"/>
  <c r="Y27" i="1"/>
  <c r="X27" i="1"/>
  <c r="W27" i="1"/>
  <c r="Z26" i="1"/>
  <c r="Y26" i="1"/>
  <c r="X26" i="1"/>
  <c r="W26" i="1"/>
  <c r="Z25" i="1"/>
  <c r="Y25" i="1"/>
  <c r="X25" i="1"/>
  <c r="W25" i="1"/>
  <c r="Z24" i="1"/>
  <c r="Y24" i="1"/>
  <c r="X24" i="1"/>
  <c r="W24" i="1"/>
  <c r="Z23" i="1"/>
  <c r="Y23" i="1"/>
  <c r="X23" i="1"/>
  <c r="W23" i="1"/>
  <c r="Z22" i="1"/>
  <c r="Y22" i="1"/>
  <c r="X22" i="1"/>
  <c r="W22" i="1"/>
  <c r="Z21" i="1"/>
  <c r="Y21" i="1"/>
  <c r="X21" i="1"/>
  <c r="W21" i="1"/>
  <c r="Z20" i="1"/>
  <c r="Y20" i="1"/>
  <c r="X20" i="1"/>
  <c r="W20" i="1"/>
  <c r="Z19" i="1"/>
  <c r="Y19" i="1"/>
  <c r="X19" i="1"/>
  <c r="W19" i="1"/>
  <c r="Z18" i="1"/>
  <c r="Y18" i="1"/>
  <c r="X18" i="1"/>
  <c r="W18" i="1"/>
  <c r="Z17" i="1"/>
  <c r="Y17" i="1"/>
  <c r="X17" i="1"/>
  <c r="W17" i="1"/>
  <c r="Z16" i="1"/>
  <c r="Y16" i="1"/>
  <c r="X16" i="1"/>
  <c r="W16" i="1"/>
  <c r="Z15" i="1"/>
  <c r="Y15" i="1"/>
  <c r="X15" i="1"/>
  <c r="W15" i="1"/>
  <c r="Z14" i="1"/>
  <c r="Y14" i="1"/>
  <c r="X14" i="1"/>
  <c r="W14" i="1"/>
  <c r="Z13" i="1"/>
  <c r="Y13" i="1"/>
  <c r="X13" i="1"/>
  <c r="W13" i="1"/>
  <c r="Z12" i="1"/>
  <c r="Y12" i="1"/>
  <c r="X12" i="1"/>
  <c r="W12" i="1"/>
  <c r="Z11" i="1"/>
  <c r="Y11" i="1"/>
  <c r="X11" i="1"/>
  <c r="W11" i="1"/>
  <c r="Z10" i="1"/>
  <c r="Y10" i="1"/>
  <c r="X10" i="1"/>
  <c r="W10" i="1"/>
  <c r="Z9" i="1"/>
  <c r="Y9" i="1"/>
  <c r="X9" i="1"/>
  <c r="W9" i="1"/>
  <c r="Z8" i="1"/>
  <c r="Y8" i="1"/>
  <c r="X8" i="1"/>
  <c r="W8" i="1"/>
  <c r="Z7" i="1"/>
  <c r="Y7" i="1"/>
  <c r="X7" i="1"/>
  <c r="W7" i="1"/>
  <c r="Z6" i="1"/>
  <c r="Y6" i="1"/>
  <c r="X6" i="1"/>
  <c r="W6" i="1"/>
  <c r="Z5" i="1"/>
  <c r="Y5" i="1"/>
  <c r="X5" i="1"/>
  <c r="W5" i="1"/>
  <c r="Z4" i="1"/>
  <c r="Y4" i="1"/>
  <c r="X4" i="1"/>
  <c r="W4" i="1"/>
  <c r="Z3" i="1"/>
  <c r="Y3" i="1"/>
  <c r="X3" i="1"/>
  <c r="W3" i="1"/>
  <c r="Z2" i="1"/>
  <c r="Y2" i="1"/>
  <c r="X2" i="1"/>
  <c r="W2" i="1"/>
  <c r="J37" i="1"/>
  <c r="I37" i="1"/>
  <c r="H37" i="1"/>
  <c r="G37" i="1"/>
  <c r="J36" i="1"/>
  <c r="I36" i="1"/>
  <c r="H36" i="1"/>
  <c r="G36" i="1"/>
  <c r="V35" i="1"/>
  <c r="U35" i="1"/>
  <c r="T35" i="1"/>
  <c r="S35" i="1"/>
  <c r="R35" i="1"/>
  <c r="Q35" i="1"/>
  <c r="J35" i="1"/>
  <c r="I35" i="1"/>
  <c r="H35" i="1"/>
  <c r="G35" i="1"/>
  <c r="J34" i="1"/>
  <c r="I34" i="1"/>
  <c r="H34" i="1"/>
  <c r="G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V28" i="1"/>
  <c r="U28" i="1"/>
  <c r="T28" i="1"/>
  <c r="S28" i="1"/>
  <c r="R28" i="1"/>
  <c r="Q28" i="1"/>
  <c r="P28" i="1"/>
  <c r="O28" i="1"/>
  <c r="N28" i="1"/>
  <c r="J28" i="1"/>
  <c r="I28" i="1"/>
  <c r="H28" i="1"/>
  <c r="G28" i="1"/>
  <c r="J27" i="1"/>
  <c r="I27" i="1"/>
  <c r="H27" i="1"/>
  <c r="G27" i="1"/>
  <c r="S26" i="1"/>
  <c r="O26" i="1"/>
  <c r="K26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R22" i="1"/>
  <c r="J22" i="1"/>
  <c r="I22" i="1"/>
  <c r="H22" i="1"/>
  <c r="G22" i="1"/>
  <c r="V21" i="1"/>
  <c r="U21" i="1"/>
  <c r="T21" i="1"/>
  <c r="S21" i="1"/>
  <c r="R21" i="1"/>
  <c r="Q21" i="1"/>
  <c r="P21" i="1"/>
  <c r="O21" i="1"/>
  <c r="N21" i="1"/>
  <c r="M21" i="1"/>
  <c r="L21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Q16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V11" i="1"/>
  <c r="U11" i="1"/>
  <c r="T11" i="1"/>
  <c r="S11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V4" i="1"/>
  <c r="U4" i="1"/>
  <c r="T4" i="1"/>
  <c r="S4" i="1"/>
  <c r="R4" i="1"/>
  <c r="Q4" i="1"/>
  <c r="P4" i="1"/>
  <c r="J4" i="1"/>
  <c r="I4" i="1"/>
  <c r="H4" i="1"/>
  <c r="G4" i="1"/>
  <c r="J3" i="1"/>
  <c r="I3" i="1"/>
  <c r="H3" i="1"/>
  <c r="G3" i="1"/>
  <c r="V2" i="1"/>
  <c r="U2" i="1"/>
  <c r="T2" i="1"/>
  <c r="S2" i="1"/>
  <c r="R2" i="1"/>
  <c r="Q2" i="1"/>
  <c r="P2" i="1"/>
  <c r="O2" i="1"/>
  <c r="N2" i="1"/>
  <c r="M2" i="1"/>
  <c r="L2" i="1"/>
  <c r="K2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J2" i="1"/>
  <c r="I2" i="1"/>
  <c r="H2" i="1"/>
  <c r="G2" i="1"/>
  <c r="V37" i="1" l="1"/>
  <c r="U37" i="1"/>
  <c r="T37" i="1"/>
  <c r="S37" i="1"/>
  <c r="R37" i="1"/>
  <c r="Q37" i="1"/>
  <c r="P37" i="1"/>
  <c r="O37" i="1"/>
  <c r="N37" i="1"/>
  <c r="M37" i="1"/>
  <c r="L37" i="1"/>
  <c r="K37" i="1"/>
  <c r="V36" i="1"/>
  <c r="U36" i="1"/>
  <c r="T36" i="1"/>
  <c r="S36" i="1"/>
  <c r="R36" i="1"/>
  <c r="Q36" i="1"/>
  <c r="P36" i="1"/>
  <c r="O36" i="1"/>
  <c r="N36" i="1"/>
  <c r="M36" i="1"/>
  <c r="L36" i="1"/>
  <c r="K36" i="1"/>
  <c r="S22" i="1"/>
  <c r="M22" i="1"/>
  <c r="U19" i="1"/>
  <c r="L19" i="1"/>
  <c r="T17" i="1"/>
  <c r="Q15" i="1"/>
  <c r="N14" i="1"/>
  <c r="M12" i="1"/>
  <c r="S9" i="1"/>
  <c r="K9" i="1"/>
  <c r="S8" i="1"/>
  <c r="M5" i="1"/>
  <c r="P35" i="1"/>
  <c r="O35" i="1"/>
  <c r="N35" i="1"/>
  <c r="M35" i="1"/>
  <c r="L35" i="1"/>
  <c r="K35" i="1"/>
  <c r="V34" i="1"/>
  <c r="U34" i="1"/>
  <c r="T34" i="1"/>
  <c r="S34" i="1"/>
  <c r="R34" i="1"/>
  <c r="Q34" i="1"/>
  <c r="P34" i="1"/>
  <c r="O34" i="1"/>
  <c r="N34" i="1"/>
  <c r="M34" i="1"/>
  <c r="L34" i="1"/>
  <c r="K34" i="1"/>
  <c r="R19" i="1"/>
  <c r="M19" i="1"/>
  <c r="U17" i="1"/>
  <c r="V16" i="1"/>
  <c r="P16" i="1"/>
  <c r="T13" i="1"/>
  <c r="O13" i="1"/>
  <c r="S12" i="1"/>
  <c r="P10" i="1"/>
  <c r="M10" i="1"/>
  <c r="S6" i="1"/>
  <c r="V32" i="1"/>
  <c r="U32" i="1"/>
  <c r="T32" i="1"/>
  <c r="S32" i="1"/>
  <c r="R32" i="1"/>
  <c r="Q32" i="1"/>
  <c r="P32" i="1"/>
  <c r="O32" i="1"/>
  <c r="N32" i="1"/>
  <c r="M32" i="1"/>
  <c r="L32" i="1"/>
  <c r="K32" i="1"/>
  <c r="V31" i="1"/>
  <c r="U31" i="1"/>
  <c r="T31" i="1"/>
  <c r="S31" i="1"/>
  <c r="R31" i="1"/>
  <c r="Q31" i="1"/>
  <c r="P31" i="1"/>
  <c r="O31" i="1"/>
  <c r="N31" i="1"/>
  <c r="M31" i="1"/>
  <c r="L31" i="1"/>
  <c r="K31" i="1"/>
  <c r="V30" i="1"/>
  <c r="U30" i="1"/>
  <c r="V29" i="1"/>
  <c r="U29" i="1"/>
  <c r="T29" i="1"/>
  <c r="S29" i="1"/>
  <c r="R29" i="1"/>
  <c r="Q29" i="1"/>
  <c r="P29" i="1"/>
  <c r="O29" i="1"/>
  <c r="N29" i="1"/>
  <c r="M29" i="1"/>
  <c r="L29" i="1"/>
  <c r="K29" i="1"/>
  <c r="K24" i="1"/>
  <c r="T23" i="1"/>
  <c r="Q23" i="1"/>
  <c r="O23" i="1"/>
  <c r="Q22" i="1"/>
  <c r="N22" i="1"/>
  <c r="K22" i="1"/>
  <c r="V19" i="1"/>
  <c r="S19" i="1"/>
  <c r="Q19" i="1"/>
  <c r="O19" i="1"/>
  <c r="V18" i="1"/>
  <c r="V17" i="1"/>
  <c r="U16" i="1"/>
  <c r="R16" i="1"/>
  <c r="S15" i="1"/>
  <c r="P15" i="1"/>
  <c r="U14" i="1"/>
  <c r="Q14" i="1"/>
  <c r="O14" i="1"/>
  <c r="K14" i="1"/>
  <c r="U13" i="1"/>
  <c r="L13" i="1"/>
  <c r="O12" i="1"/>
  <c r="K10" i="1"/>
  <c r="P9" i="1"/>
  <c r="O8" i="1"/>
  <c r="L6" i="1"/>
  <c r="U5" i="1"/>
  <c r="T30" i="1"/>
  <c r="S30" i="1"/>
  <c r="R30" i="1"/>
  <c r="Q30" i="1"/>
  <c r="P30" i="1"/>
  <c r="O30" i="1"/>
  <c r="N30" i="1"/>
  <c r="M30" i="1"/>
  <c r="L30" i="1"/>
  <c r="K30" i="1"/>
  <c r="L24" i="1"/>
  <c r="S23" i="1"/>
  <c r="N23" i="1"/>
  <c r="L23" i="1"/>
  <c r="U22" i="1"/>
  <c r="P22" i="1"/>
  <c r="P19" i="1"/>
  <c r="M17" i="1"/>
  <c r="T15" i="1"/>
  <c r="O15" i="1"/>
  <c r="K15" i="1"/>
  <c r="R14" i="1"/>
  <c r="P13" i="1"/>
  <c r="T12" i="1"/>
  <c r="Q12" i="1"/>
  <c r="O10" i="1"/>
  <c r="L10" i="1"/>
  <c r="P8" i="1"/>
  <c r="K8" i="1"/>
  <c r="N6" i="1"/>
  <c r="L5" i="1"/>
  <c r="M28" i="1"/>
  <c r="L28" i="1"/>
  <c r="K28" i="1"/>
  <c r="V27" i="1"/>
  <c r="U27" i="1"/>
  <c r="T27" i="1"/>
  <c r="S27" i="1"/>
  <c r="R27" i="1"/>
  <c r="Q27" i="1"/>
  <c r="P27" i="1"/>
  <c r="O27" i="1"/>
  <c r="N27" i="1"/>
  <c r="M27" i="1"/>
  <c r="L27" i="1"/>
  <c r="K27" i="1"/>
  <c r="V26" i="1"/>
  <c r="U26" i="1"/>
  <c r="T26" i="1"/>
  <c r="R26" i="1"/>
  <c r="Q26" i="1"/>
  <c r="P26" i="1"/>
  <c r="N26" i="1"/>
  <c r="M26" i="1"/>
  <c r="L26" i="1"/>
  <c r="V23" i="1"/>
  <c r="R23" i="1"/>
  <c r="M23" i="1"/>
  <c r="K23" i="1"/>
  <c r="T22" i="1"/>
  <c r="O22" i="1"/>
  <c r="L22" i="1"/>
  <c r="N19" i="1"/>
  <c r="P17" i="1"/>
  <c r="K17" i="1"/>
  <c r="O16" i="1"/>
  <c r="P14" i="1"/>
  <c r="M14" i="1"/>
  <c r="R13" i="1"/>
  <c r="N13" i="1"/>
  <c r="O9" i="1"/>
  <c r="L9" i="1"/>
  <c r="R8" i="1"/>
  <c r="L8" i="1"/>
  <c r="V7" i="1"/>
  <c r="Q7" i="1"/>
  <c r="N7" i="1"/>
  <c r="K6" i="1"/>
  <c r="V25" i="1"/>
  <c r="U25" i="1"/>
  <c r="T25" i="1"/>
  <c r="S25" i="1"/>
  <c r="R25" i="1"/>
  <c r="Q25" i="1"/>
  <c r="P25" i="1"/>
  <c r="O25" i="1"/>
  <c r="N25" i="1"/>
  <c r="M25" i="1"/>
  <c r="L25" i="1"/>
  <c r="K25" i="1"/>
  <c r="V24" i="1"/>
  <c r="U24" i="1"/>
  <c r="T24" i="1"/>
  <c r="S24" i="1"/>
  <c r="R24" i="1"/>
  <c r="Q24" i="1"/>
  <c r="P24" i="1"/>
  <c r="O24" i="1"/>
  <c r="N24" i="1"/>
  <c r="M24" i="1"/>
  <c r="U23" i="1"/>
  <c r="P23" i="1"/>
  <c r="V22" i="1"/>
  <c r="U18" i="1"/>
  <c r="Q17" i="1"/>
  <c r="O17" i="1"/>
  <c r="L17" i="1"/>
  <c r="N15" i="1"/>
  <c r="S13" i="1"/>
  <c r="M13" i="1"/>
  <c r="R12" i="1"/>
  <c r="S10" i="1"/>
  <c r="U9" i="1"/>
  <c r="N9" i="1"/>
  <c r="S7" i="1"/>
  <c r="M7" i="1"/>
  <c r="O6" i="1"/>
  <c r="K19" i="1"/>
  <c r="R17" i="1"/>
  <c r="U15" i="1"/>
  <c r="S14" i="1"/>
  <c r="V12" i="1"/>
  <c r="N12" i="1"/>
  <c r="Q10" i="1"/>
  <c r="R9" i="1"/>
  <c r="M9" i="1"/>
  <c r="U8" i="1"/>
  <c r="M8" i="1"/>
  <c r="R7" i="1"/>
  <c r="O7" i="1"/>
  <c r="T5" i="1"/>
  <c r="P5" i="1"/>
  <c r="K21" i="1"/>
  <c r="V20" i="1"/>
  <c r="U20" i="1"/>
  <c r="T20" i="1"/>
  <c r="S20" i="1"/>
  <c r="R20" i="1"/>
  <c r="Q20" i="1"/>
  <c r="P20" i="1"/>
  <c r="O20" i="1"/>
  <c r="N20" i="1"/>
  <c r="M20" i="1"/>
  <c r="L20" i="1"/>
  <c r="K20" i="1"/>
  <c r="T19" i="1"/>
  <c r="N17" i="1"/>
  <c r="T16" i="1"/>
  <c r="V15" i="1"/>
  <c r="M15" i="1"/>
  <c r="T14" i="1"/>
  <c r="K12" i="1"/>
  <c r="T9" i="1"/>
  <c r="K7" i="1"/>
  <c r="V6" i="1"/>
  <c r="T18" i="1"/>
  <c r="S18" i="1"/>
  <c r="R18" i="1"/>
  <c r="Q18" i="1"/>
  <c r="P18" i="1"/>
  <c r="O18" i="1"/>
  <c r="N18" i="1"/>
  <c r="M18" i="1"/>
  <c r="L18" i="1"/>
  <c r="K18" i="1"/>
  <c r="S17" i="1"/>
  <c r="S16" i="1"/>
  <c r="R15" i="1"/>
  <c r="L14" i="1"/>
  <c r="V13" i="1"/>
  <c r="V9" i="1"/>
  <c r="Q8" i="1"/>
  <c r="U7" i="1"/>
  <c r="R5" i="1"/>
  <c r="N16" i="1"/>
  <c r="M16" i="1"/>
  <c r="L16" i="1"/>
  <c r="K16" i="1"/>
  <c r="L15" i="1"/>
  <c r="V14" i="1"/>
  <c r="Q13" i="1"/>
  <c r="K13" i="1"/>
  <c r="U12" i="1"/>
  <c r="P12" i="1"/>
  <c r="L12" i="1"/>
  <c r="R10" i="1"/>
  <c r="T8" i="1"/>
  <c r="R6" i="1"/>
  <c r="Q9" i="1"/>
  <c r="V8" i="1"/>
  <c r="N8" i="1"/>
  <c r="T7" i="1"/>
  <c r="Q6" i="1"/>
  <c r="Q5" i="1"/>
  <c r="O5" i="1"/>
  <c r="R11" i="1"/>
  <c r="Q11" i="1"/>
  <c r="P11" i="1"/>
  <c r="O11" i="1"/>
  <c r="N11" i="1"/>
  <c r="M11" i="1"/>
  <c r="L11" i="1"/>
  <c r="K11" i="1"/>
  <c r="V10" i="1"/>
  <c r="U10" i="1"/>
  <c r="T10" i="1"/>
  <c r="N10" i="1"/>
  <c r="L7" i="1"/>
  <c r="V5" i="1"/>
  <c r="K5" i="1"/>
  <c r="P7" i="1"/>
  <c r="S5" i="1"/>
  <c r="N5" i="1"/>
  <c r="U6" i="1"/>
  <c r="T6" i="1"/>
  <c r="P6" i="1"/>
  <c r="M6" i="1"/>
  <c r="O4" i="1"/>
  <c r="N4" i="1"/>
  <c r="M4" i="1"/>
  <c r="L4" i="1"/>
  <c r="K4" i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<sst xmlns="http://schemas.openxmlformats.org/spreadsheetml/2006/main" count="46" uniqueCount="42">
  <si>
    <t>N</t>
  </si>
  <si>
    <t>knapsackAvg3</t>
    <phoneticPr fontId="1" type="noConversion"/>
  </si>
  <si>
    <t>knapsackMax3</t>
    <phoneticPr fontId="1" type="noConversion"/>
  </si>
  <si>
    <t>TSPaverage3</t>
    <phoneticPr fontId="1" type="noConversion"/>
  </si>
  <si>
    <t>TSPmax3</t>
    <phoneticPr fontId="1" type="noConversion"/>
  </si>
  <si>
    <t>log(knapsackAvg3)</t>
    <phoneticPr fontId="1" type="noConversion"/>
  </si>
  <si>
    <t>log(knapsackMax3)</t>
    <phoneticPr fontId="1" type="noConversion"/>
  </si>
  <si>
    <t>log(TSPaverage3)</t>
    <phoneticPr fontId="1" type="noConversion"/>
  </si>
  <si>
    <t>log(TSPmax3)</t>
    <phoneticPr fontId="1" type="noConversion"/>
  </si>
  <si>
    <t>log(N)</t>
    <phoneticPr fontId="1" type="noConversion"/>
  </si>
  <si>
    <t>G/B</t>
    <phoneticPr fontId="1" type="noConversion"/>
  </si>
  <si>
    <t>H/B</t>
    <phoneticPr fontId="1" type="noConversion"/>
  </si>
  <si>
    <t>I/B</t>
    <phoneticPr fontId="1" type="noConversion"/>
  </si>
  <si>
    <t>J/B</t>
    <phoneticPr fontId="1" type="noConversion"/>
  </si>
  <si>
    <t>G/(B^2)</t>
    <phoneticPr fontId="1" type="noConversion"/>
  </si>
  <si>
    <t>H/(B^2)</t>
    <phoneticPr fontId="1" type="noConversion"/>
  </si>
  <si>
    <t>I/(B^2)</t>
    <phoneticPr fontId="1" type="noConversion"/>
  </si>
  <si>
    <t>J/(B^2)</t>
    <phoneticPr fontId="1" type="noConversion"/>
  </si>
  <si>
    <t>G/(B^3)</t>
    <phoneticPr fontId="1" type="noConversion"/>
  </si>
  <si>
    <t>H/(B^3)</t>
    <phoneticPr fontId="1" type="noConversion"/>
  </si>
  <si>
    <t>I/(B^3)</t>
    <phoneticPr fontId="1" type="noConversion"/>
  </si>
  <si>
    <t>J/(B^3)</t>
    <phoneticPr fontId="1" type="noConversion"/>
  </si>
  <si>
    <t>log(knapsackAvg3)/log(N)</t>
    <phoneticPr fontId="1" type="noConversion"/>
  </si>
  <si>
    <t>log(knapsackMax3)/log(N)</t>
    <phoneticPr fontId="1" type="noConversion"/>
  </si>
  <si>
    <t>log(TSPaverage3)/log(N)</t>
    <phoneticPr fontId="1" type="noConversion"/>
  </si>
  <si>
    <t>log(TSPmax3)/log(N)</t>
    <phoneticPr fontId="1" type="noConversion"/>
  </si>
  <si>
    <t>log(knapsackAvg3)/(log(N)^2)</t>
    <phoneticPr fontId="1" type="noConversion"/>
  </si>
  <si>
    <t>log(knapsackMax3)/(log(N)^2)</t>
    <phoneticPr fontId="1" type="noConversion"/>
  </si>
  <si>
    <t>log(TSPaverage3)/(log(N)^2)</t>
    <phoneticPr fontId="1" type="noConversion"/>
  </si>
  <si>
    <t>log(TSPmax3)/(log(N)^2)</t>
    <phoneticPr fontId="1" type="noConversion"/>
  </si>
  <si>
    <t>log(knapsackAvg3)/(log(N)^3)</t>
    <phoneticPr fontId="1" type="noConversion"/>
  </si>
  <si>
    <t>log(knapsackMax3)/(log(N)^3)</t>
    <phoneticPr fontId="1" type="noConversion"/>
  </si>
  <si>
    <t>log(TSPaverage3)/(log(N)^3)</t>
    <phoneticPr fontId="1" type="noConversion"/>
  </si>
  <si>
    <t>log(TSPmax3)/(log(N)^3)</t>
    <phoneticPr fontId="1" type="noConversion"/>
  </si>
  <si>
    <t>G/(B^4)</t>
    <phoneticPr fontId="1" type="noConversion"/>
  </si>
  <si>
    <t>H/(B^4)</t>
    <phoneticPr fontId="1" type="noConversion"/>
  </si>
  <si>
    <t>I/(B^4)</t>
    <phoneticPr fontId="1" type="noConversion"/>
  </si>
  <si>
    <t>J/(B^4)</t>
    <phoneticPr fontId="1" type="noConversion"/>
  </si>
  <si>
    <t>log(knapsackAvg3)/(log(N)^4)</t>
    <phoneticPr fontId="1" type="noConversion"/>
  </si>
  <si>
    <t>log(knapsackMax3)/(log(N)^4)</t>
    <phoneticPr fontId="1" type="noConversion"/>
  </si>
  <si>
    <t>log(TSPaverage3)/(log(N)^4)</t>
    <phoneticPr fontId="1" type="noConversion"/>
  </si>
  <si>
    <t>log(TSPmax3)/(log(N)^4)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</si>
</sst>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2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Log(times)/log(N)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overLogN!$B$1</c:f>
              <c:strCache>
                <c:ptCount val="1"/>
                <c:pt idx="0">
                  <c:v>log(knapsackAvg3)/log(N)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overLogN!$A$2:$A$37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overLogN!$B$2:$B$37</c:f>
              <c:numCache>
                <c:formatCode>General</c:formatCode>
                <c:ptCount val="36"/>
                <c:pt idx="0">
                  <c:v>1.6826061944859854</c:v>
                </c:pt>
                <c:pt idx="1">
                  <c:v>1.5812464746045691</c:v>
                </c:pt>
                <c:pt idx="2">
                  <c:v>1.7478696965085179</c:v>
                </c:pt>
                <c:pt idx="3">
                  <c:v>1.8715699480384027</c:v>
                </c:pt>
                <c:pt idx="4">
                  <c:v>2.355767264741357</c:v>
                </c:pt>
                <c:pt idx="5">
                  <c:v>2.2624510897304293</c:v>
                </c:pt>
                <c:pt idx="6">
                  <c:v>2.2530914686558829</c:v>
                </c:pt>
                <c:pt idx="7">
                  <c:v>2.6193213888042743</c:v>
                </c:pt>
                <c:pt idx="8">
                  <c:v>2.7061704102953086</c:v>
                </c:pt>
                <c:pt idx="9">
                  <c:v>3.0435243767780502</c:v>
                </c:pt>
                <c:pt idx="10">
                  <c:v>3.1382807461884408</c:v>
                </c:pt>
                <c:pt idx="11">
                  <c:v>3.2830445952288865</c:v>
                </c:pt>
                <c:pt idx="12">
                  <c:v>3.3279643923941222</c:v>
                </c:pt>
                <c:pt idx="13">
                  <c:v>3.4350833327728321</c:v>
                </c:pt>
                <c:pt idx="14">
                  <c:v>3.5544242990676294</c:v>
                </c:pt>
                <c:pt idx="15">
                  <c:v>3.8754276210327054</c:v>
                </c:pt>
                <c:pt idx="16">
                  <c:v>3.8161508794119561</c:v>
                </c:pt>
                <c:pt idx="17">
                  <c:v>4.0740510788509292</c:v>
                </c:pt>
                <c:pt idx="18">
                  <c:v>4.0814363225572103</c:v>
                </c:pt>
                <c:pt idx="19">
                  <c:v>4.2840234692294779</c:v>
                </c:pt>
                <c:pt idx="20">
                  <c:v>4.5308172317877373</c:v>
                </c:pt>
                <c:pt idx="21">
                  <c:v>4.1893225989847211</c:v>
                </c:pt>
                <c:pt idx="22">
                  <c:v>4.7301921243058063</c:v>
                </c:pt>
                <c:pt idx="23">
                  <c:v>4.7958565771129322</c:v>
                </c:pt>
                <c:pt idx="24">
                  <c:v>5.0721752743963151</c:v>
                </c:pt>
                <c:pt idx="25">
                  <c:v>5.2330352945506453</c:v>
                </c:pt>
                <c:pt idx="26">
                  <c:v>5.3009998222139441</c:v>
                </c:pt>
                <c:pt idx="27">
                  <c:v>5.3930873862907358</c:v>
                </c:pt>
                <c:pt idx="28">
                  <c:v>5.5059812937389365</c:v>
                </c:pt>
                <c:pt idx="29">
                  <c:v>5.7024378830490825</c:v>
                </c:pt>
                <c:pt idx="30">
                  <c:v>5.7644489988604253</c:v>
                </c:pt>
                <c:pt idx="31">
                  <c:v>5.3782293865474404</c:v>
                </c:pt>
                <c:pt idx="32">
                  <c:v>6.0705769965620116</c:v>
                </c:pt>
                <c:pt idx="33">
                  <c:v>5.9640787261115964</c:v>
                </c:pt>
                <c:pt idx="34">
                  <c:v>6.0363459939488653</c:v>
                </c:pt>
                <c:pt idx="35">
                  <c:v>6.2029652192420945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C-466E-AF35-11D983826EB7}"/>
            </c:ext>
          </c:extLst>
        </c:ser>
        <c:ser>
          <c:idx val="1"/>
          <c:order val="1"/>
          <c:tx>
            <c:strRef>
              <c:f>overLogN!$C$1</c:f>
              <c:strCache>
                <c:ptCount val="1"/>
                <c:pt idx="0">
                  <c:v>log(knapsackMax3)/log(N)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overLogN!$A$2:$A$37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overLogN!$C$2:$C$37</c:f>
              <c:numCache>
                <c:formatCode>General</c:formatCode>
                <c:ptCount val="36"/>
                <c:pt idx="0">
                  <c:v>1.7958889470453634</c:v>
                </c:pt>
                <c:pt idx="1">
                  <c:v>1.7499526414000295</c:v>
                </c:pt>
                <c:pt idx="2">
                  <c:v>2</c:v>
                </c:pt>
                <c:pt idx="3">
                  <c:v>2.1364636453792341</c:v>
                </c:pt>
                <c:pt idx="4">
                  <c:v>2.5</c:v>
                </c:pt>
                <c:pt idx="5">
                  <c:v>2.3909351071033793</c:v>
                </c:pt>
                <c:pt idx="6">
                  <c:v>2.4094681651713969</c:v>
                </c:pt>
                <c:pt idx="7">
                  <c:v>2.7325361442021174</c:v>
                </c:pt>
                <c:pt idx="8">
                  <c:v>2.8115786038173054</c:v>
                </c:pt>
                <c:pt idx="9">
                  <c:v>3.1539162113047099</c:v>
                </c:pt>
                <c:pt idx="10">
                  <c:v>3.2328764659298863</c:v>
                </c:pt>
                <c:pt idx="11">
                  <c:v>3.3218198765257299</c:v>
                </c:pt>
                <c:pt idx="12">
                  <c:v>3.3458033331454593</c:v>
                </c:pt>
                <c:pt idx="13">
                  <c:v>3.562300887527329</c:v>
                </c:pt>
                <c:pt idx="14">
                  <c:v>3.6563833602601781</c:v>
                </c:pt>
                <c:pt idx="15">
                  <c:v>3.9898518236279976</c:v>
                </c:pt>
                <c:pt idx="16">
                  <c:v>3.936488471117678</c:v>
                </c:pt>
                <c:pt idx="17">
                  <c:v>4.1637777819551323</c:v>
                </c:pt>
                <c:pt idx="18">
                  <c:v>4.2821310727861679</c:v>
                </c:pt>
                <c:pt idx="19">
                  <c:v>4.4948692762792781</c:v>
                </c:pt>
                <c:pt idx="20">
                  <c:v>4.6784118265622627</c:v>
                </c:pt>
                <c:pt idx="21">
                  <c:v>4.4324652818695371</c:v>
                </c:pt>
                <c:pt idx="22">
                  <c:v>4.962454367787287</c:v>
                </c:pt>
                <c:pt idx="23">
                  <c:v>4.9014878724617059</c:v>
                </c:pt>
                <c:pt idx="24">
                  <c:v>5.1155301904735335</c:v>
                </c:pt>
                <c:pt idx="25">
                  <c:v>5.4128834938990433</c:v>
                </c:pt>
                <c:pt idx="26">
                  <c:v>5.380231978958661</c:v>
                </c:pt>
                <c:pt idx="27">
                  <c:v>5.5105551890787572</c:v>
                </c:pt>
                <c:pt idx="28">
                  <c:v>5.5933389284831101</c:v>
                </c:pt>
                <c:pt idx="29">
                  <c:v>5.8355243893067108</c:v>
                </c:pt>
                <c:pt idx="30">
                  <c:v>5.8780538842727283</c:v>
                </c:pt>
                <c:pt idx="31">
                  <c:v>5.6518417009177027</c:v>
                </c:pt>
                <c:pt idx="32">
                  <c:v>6.293923206817734</c:v>
                </c:pt>
                <c:pt idx="33">
                  <c:v>6.2599912522334904</c:v>
                </c:pt>
                <c:pt idx="34">
                  <c:v>6.3315448754034964</c:v>
                </c:pt>
                <c:pt idx="35">
                  <c:v>6.4978931265327304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DC-466E-AF35-11D983826EB7}"/>
            </c:ext>
          </c:extLst>
        </c:ser>
        <c:ser>
          <c:idx val="2"/>
          <c:order val="2"/>
          <c:tx>
            <c:strRef>
              <c:f>overLogN!$D$1</c:f>
              <c:strCache>
                <c:ptCount val="1"/>
                <c:pt idx="0">
                  <c:v>log(TSPaverage3)/log(N)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overLogN!$A$2:$A$37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overLogN!$D$2:$D$37</c:f>
              <c:numCache>
                <c:formatCode>General</c:formatCode>
                <c:ptCount val="36"/>
                <c:pt idx="0">
                  <c:v>1.9205726604783708</c:v>
                </c:pt>
                <c:pt idx="1">
                  <c:v>2.2943223880069139</c:v>
                </c:pt>
                <c:pt idx="2">
                  <c:v>2.3237396542919755</c:v>
                </c:pt>
                <c:pt idx="3">
                  <c:v>2.6940496804512906</c:v>
                </c:pt>
                <c:pt idx="4">
                  <c:v>2.9226062433689415</c:v>
                </c:pt>
                <c:pt idx="5">
                  <c:v>2.8388490907372552</c:v>
                </c:pt>
                <c:pt idx="6">
                  <c:v>2.7928802077544321</c:v>
                </c:pt>
                <c:pt idx="7">
                  <c:v>2.6905883758807447</c:v>
                </c:pt>
                <c:pt idx="8">
                  <c:v>3.8447227189987538</c:v>
                </c:pt>
                <c:pt idx="9">
                  <c:v>3.5058192414019613</c:v>
                </c:pt>
                <c:pt idx="10">
                  <c:v>3.2096223836759168</c:v>
                </c:pt>
                <c:pt idx="11">
                  <c:v>3.7604147879093035</c:v>
                </c:pt>
                <c:pt idx="12">
                  <c:v>3.9379290394063529</c:v>
                </c:pt>
                <c:pt idx="13">
                  <c:v>3.3426205348645959</c:v>
                </c:pt>
                <c:pt idx="14">
                  <c:v>3.0416100342328449</c:v>
                </c:pt>
                <c:pt idx="15">
                  <c:v>3.5394892085153478</c:v>
                </c:pt>
                <c:pt idx="16">
                  <c:v>4.9001138479390871</c:v>
                </c:pt>
                <c:pt idx="17">
                  <c:v>4.0908617472520303</c:v>
                </c:pt>
                <c:pt idx="18">
                  <c:v>4.3428237122860018</c:v>
                </c:pt>
                <c:pt idx="19">
                  <c:v>3.9361110335852176</c:v>
                </c:pt>
                <c:pt idx="20">
                  <c:v>4.4200945323894496</c:v>
                </c:pt>
                <c:pt idx="21">
                  <c:v>4.2157154459826867</c:v>
                </c:pt>
                <c:pt idx="22">
                  <c:v>4.4784119013088866</c:v>
                </c:pt>
                <c:pt idx="23">
                  <c:v>3.916450493071681</c:v>
                </c:pt>
                <c:pt idx="24">
                  <c:v>4.5909928411416088</c:v>
                </c:pt>
                <c:pt idx="25">
                  <c:v>5.2420436717683225</c:v>
                </c:pt>
                <c:pt idx="26">
                  <c:v>5.1228024265836529</c:v>
                </c:pt>
                <c:pt idx="27">
                  <c:v>4.6730199196086835</c:v>
                </c:pt>
                <c:pt idx="28">
                  <c:v>4.5850853278933279</c:v>
                </c:pt>
                <c:pt idx="29">
                  <c:v>5.4582737904669001</c:v>
                </c:pt>
                <c:pt idx="30">
                  <c:v>4.4319740726163177</c:v>
                </c:pt>
                <c:pt idx="31">
                  <c:v>5.798611005643985</c:v>
                </c:pt>
                <c:pt idx="32">
                  <c:v>5.5830886841306233</c:v>
                </c:pt>
                <c:pt idx="33">
                  <c:v>5.9446155433739509</c:v>
                </c:pt>
                <c:pt idx="34">
                  <c:v>4.1791360490730343</c:v>
                </c:pt>
                <c:pt idx="35">
                  <c:v>4.7519865656818157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3DC-466E-AF35-11D983826EB7}"/>
            </c:ext>
          </c:extLst>
        </c:ser>
        <c:ser>
          <c:idx val="3"/>
          <c:order val="3"/>
          <c:tx>
            <c:strRef>
              <c:f>overLogN!$E$1</c:f>
              <c:strCache>
                <c:ptCount val="1"/>
                <c:pt idx="0">
                  <c:v>log(TSPmax3)/log(N)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overLogN!$A$2:$A$37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overLogN!$E$2:$E$37</c:f>
              <c:numCache>
                <c:formatCode>General</c:formatCode>
                <c:ptCount val="36"/>
                <c:pt idx="0">
                  <c:v>2.1336562149773224</c:v>
                </c:pt>
                <c:pt idx="1">
                  <c:v>2.643322683504497</c:v>
                </c:pt>
                <c:pt idx="2">
                  <c:v>2.4602840707245623</c:v>
                </c:pt>
                <c:pt idx="3">
                  <c:v>2.9138223288003826</c:v>
                </c:pt>
                <c:pt idx="4">
                  <c:v>3.2432220842615722</c:v>
                </c:pt>
                <c:pt idx="5">
                  <c:v>3.0161973535124389</c:v>
                </c:pt>
                <c:pt idx="6">
                  <c:v>3.120051065941031</c:v>
                </c:pt>
                <c:pt idx="7">
                  <c:v>2.87257190713918</c:v>
                </c:pt>
                <c:pt idx="8">
                  <c:v>4.2030786814202665</c:v>
                </c:pt>
                <c:pt idx="9">
                  <c:v>3.7746331957051646</c:v>
                </c:pt>
                <c:pt idx="10">
                  <c:v>3.5035055954601106</c:v>
                </c:pt>
                <c:pt idx="11">
                  <c:v>3.9812668968092506</c:v>
                </c:pt>
                <c:pt idx="12">
                  <c:v>4.2376962840088357</c:v>
                </c:pt>
                <c:pt idx="13">
                  <c:v>3.6819173366872096</c:v>
                </c:pt>
                <c:pt idx="14">
                  <c:v>3.3033902566820399</c:v>
                </c:pt>
                <c:pt idx="15">
                  <c:v>3.7470916512847583</c:v>
                </c:pt>
                <c:pt idx="16">
                  <c:v>5.2527230211339884</c:v>
                </c:pt>
                <c:pt idx="17">
                  <c:v>4.256650449467223</c:v>
                </c:pt>
                <c:pt idx="18">
                  <c:v>4.656600113882261</c:v>
                </c:pt>
                <c:pt idx="19">
                  <c:v>4.2676409654469829</c:v>
                </c:pt>
                <c:pt idx="20">
                  <c:v>4.6498892793422835</c:v>
                </c:pt>
                <c:pt idx="21">
                  <c:v>4.4465937026042965</c:v>
                </c:pt>
                <c:pt idx="22">
                  <c:v>4.6359472202069698</c:v>
                </c:pt>
                <c:pt idx="23">
                  <c:v>4.0140952355055344</c:v>
                </c:pt>
                <c:pt idx="24">
                  <c:v>4.860284263597185</c:v>
                </c:pt>
                <c:pt idx="25">
                  <c:v>5.5486901254872221</c:v>
                </c:pt>
                <c:pt idx="26">
                  <c:v>5.4281416022033362</c:v>
                </c:pt>
                <c:pt idx="27">
                  <c:v>4.9650672501010611</c:v>
                </c:pt>
                <c:pt idx="28">
                  <c:v>4.814544809657427</c:v>
                </c:pt>
                <c:pt idx="29">
                  <c:v>5.7673604262365332</c:v>
                </c:pt>
                <c:pt idx="30">
                  <c:v>4.5990156485477369</c:v>
                </c:pt>
                <c:pt idx="31">
                  <c:v>6.0881038888594299</c:v>
                </c:pt>
                <c:pt idx="32">
                  <c:v>5.8789504252805491</c:v>
                </c:pt>
                <c:pt idx="33">
                  <c:v>6.2441469233876647</c:v>
                </c:pt>
                <c:pt idx="34">
                  <c:v>4.354767046373329</c:v>
                </c:pt>
                <c:pt idx="35">
                  <c:v>4.9893671566916273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DC-466E-AF35-11D983826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41888"/>
        <c:axId val="1400242848"/>
      </c:scatterChart>
      <c:valAx>
        <c:axId val="140024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42848"/>
        <c:crosses val="autoZero"/>
        <c:crossBetween val="midCat"/>
      </c:valAx>
      <c:valAx>
        <c:axId val="14002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4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Log(times)/(log(N)^2)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'overLogN^2'!$B$1</c:f>
              <c:strCache>
                <c:ptCount val="1"/>
                <c:pt idx="0">
                  <c:v>log(knapsackAvg3)/(log(N)^2)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'overLogN^2'!$A$2:$A$37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'overLogN^2'!$B$2:$B$37</c:f>
              <c:numCache>
                <c:formatCode>General</c:formatCode>
                <c:ptCount val="36"/>
                <c:pt idx="0">
                  <c:v>2.4072652389201794</c:v>
                </c:pt>
                <c:pt idx="1">
                  <c:v>2.0320554311581249</c:v>
                </c:pt>
                <c:pt idx="2">
                  <c:v>2.0682448825452622</c:v>
                </c:pt>
                <c:pt idx="3">
                  <c:v>2.0724069306452173</c:v>
                </c:pt>
                <c:pt idx="4">
                  <c:v>2.4687301618175788</c:v>
                </c:pt>
                <c:pt idx="5">
                  <c:v>2.2624510897304293</c:v>
                </c:pt>
                <c:pt idx="6">
                  <c:v>2.1635368682405876</c:v>
                </c:pt>
                <c:pt idx="7">
                  <c:v>2.4271376086243461</c:v>
                </c:pt>
                <c:pt idx="8">
                  <c:v>2.4293608868809797</c:v>
                </c:pt>
                <c:pt idx="9">
                  <c:v>2.6554837522816555</c:v>
                </c:pt>
                <c:pt idx="10">
                  <c:v>2.6683990056250053</c:v>
                </c:pt>
                <c:pt idx="11">
                  <c:v>2.7265095194147362</c:v>
                </c:pt>
                <c:pt idx="12">
                  <c:v>2.7046749642125247</c:v>
                </c:pt>
                <c:pt idx="13">
                  <c:v>2.7365239968273922</c:v>
                </c:pt>
                <c:pt idx="14">
                  <c:v>2.7796006176789221</c:v>
                </c:pt>
                <c:pt idx="15">
                  <c:v>2.9787381028481819</c:v>
                </c:pt>
                <c:pt idx="16">
                  <c:v>2.8861709208228659</c:v>
                </c:pt>
                <c:pt idx="17">
                  <c:v>3.0348497064692452</c:v>
                </c:pt>
                <c:pt idx="18">
                  <c:v>2.9972482126042701</c:v>
                </c:pt>
                <c:pt idx="19">
                  <c:v>3.1038897088802448</c:v>
                </c:pt>
                <c:pt idx="20">
                  <c:v>3.241067001216849</c:v>
                </c:pt>
                <c:pt idx="21">
                  <c:v>2.9607077794027257</c:v>
                </c:pt>
                <c:pt idx="22">
                  <c:v>3.3046750537834666</c:v>
                </c:pt>
                <c:pt idx="23">
                  <c:v>3.3139826288804417</c:v>
                </c:pt>
                <c:pt idx="24">
                  <c:v>3.4683959371413029</c:v>
                </c:pt>
                <c:pt idx="25">
                  <c:v>3.5427256075492632</c:v>
                </c:pt>
                <c:pt idx="26">
                  <c:v>3.5544696126565642</c:v>
                </c:pt>
                <c:pt idx="27">
                  <c:v>3.58308970134037</c:v>
                </c:pt>
                <c:pt idx="28">
                  <c:v>3.6259010530925413</c:v>
                </c:pt>
                <c:pt idx="29">
                  <c:v>3.7234844173122537</c:v>
                </c:pt>
                <c:pt idx="30">
                  <c:v>3.7332868975253182</c:v>
                </c:pt>
                <c:pt idx="31">
                  <c:v>3.4557737868414837</c:v>
                </c:pt>
                <c:pt idx="32">
                  <c:v>3.8710434400100624</c:v>
                </c:pt>
                <c:pt idx="33">
                  <c:v>3.7752504449875195</c:v>
                </c:pt>
                <c:pt idx="34">
                  <c:v>3.7939037593388751</c:v>
                </c:pt>
                <c:pt idx="35">
                  <c:v>3.8718682526366566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F-406E-81EF-879194E23642}"/>
            </c:ext>
          </c:extLst>
        </c:ser>
        <c:ser>
          <c:idx val="1"/>
          <c:order val="1"/>
          <c:tx>
            <c:strRef>
              <c:f>'overLogN^2'!$C$1</c:f>
              <c:strCache>
                <c:ptCount val="1"/>
                <c:pt idx="0">
                  <c:v>log(knapsackMax3)/(log(N)^2)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'overLogN^2'!$A$2:$A$37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'overLogN^2'!$C$2:$C$37</c:f>
              <c:numCache>
                <c:formatCode>General</c:formatCode>
                <c:ptCount val="36"/>
                <c:pt idx="0">
                  <c:v>2.5693362174409105</c:v>
                </c:pt>
                <c:pt idx="1">
                  <c:v>2.2488592552376789</c:v>
                </c:pt>
                <c:pt idx="2">
                  <c:v>2.3665893249098766</c:v>
                </c:pt>
                <c:pt idx="3">
                  <c:v>2.3657262024302494</c:v>
                </c:pt>
                <c:pt idx="4">
                  <c:v>2.6198790928617308</c:v>
                </c:pt>
                <c:pt idx="5">
                  <c:v>2.3909351071033793</c:v>
                </c:pt>
                <c:pt idx="6">
                  <c:v>2.3136979926119912</c:v>
                </c:pt>
                <c:pt idx="7">
                  <c:v>2.5320456171840564</c:v>
                </c:pt>
                <c:pt idx="8">
                  <c:v>2.5239870573264604</c:v>
                </c:pt>
                <c:pt idx="9">
                  <c:v>2.7518009446809617</c:v>
                </c:pt>
                <c:pt idx="10">
                  <c:v>2.7488313011744165</c:v>
                </c:pt>
                <c:pt idx="11">
                  <c:v>2.7587116934965223</c:v>
                </c:pt>
                <c:pt idx="12">
                  <c:v>2.7191728766747136</c:v>
                </c:pt>
                <c:pt idx="13">
                  <c:v>2.837870560412028</c:v>
                </c:pt>
                <c:pt idx="14">
                  <c:v>2.8593337743375438</c:v>
                </c:pt>
                <c:pt idx="15">
                  <c:v>3.0666870379047446</c:v>
                </c:pt>
                <c:pt idx="16">
                  <c:v>2.9771827463082428</c:v>
                </c:pt>
                <c:pt idx="17">
                  <c:v>3.1016890890169586</c:v>
                </c:pt>
                <c:pt idx="18">
                  <c:v>3.1446306372860584</c:v>
                </c:pt>
                <c:pt idx="19">
                  <c:v>3.2566531415185196</c:v>
                </c:pt>
                <c:pt idx="20">
                  <c:v>3.3466470646379767</c:v>
                </c:pt>
                <c:pt idx="21">
                  <c:v>3.1325433007102483</c:v>
                </c:pt>
                <c:pt idx="22">
                  <c:v>3.4669414526523443</c:v>
                </c:pt>
                <c:pt idx="23">
                  <c:v>3.3869748612842532</c:v>
                </c:pt>
                <c:pt idx="24">
                  <c:v>3.4980423918954173</c:v>
                </c:pt>
                <c:pt idx="25">
                  <c:v>3.6644814883029597</c:v>
                </c:pt>
                <c:pt idx="26">
                  <c:v>3.607597004269401</c:v>
                </c:pt>
                <c:pt idx="27">
                  <c:v>3.6611336202056131</c:v>
                </c:pt>
                <c:pt idx="28">
                  <c:v>3.6834294250422901</c:v>
                </c:pt>
                <c:pt idx="29">
                  <c:v>3.8103850626797122</c:v>
                </c:pt>
                <c:pt idx="30">
                  <c:v>3.8068619487207505</c:v>
                </c:pt>
                <c:pt idx="31">
                  <c:v>3.6315829976056939</c:v>
                </c:pt>
                <c:pt idx="32">
                  <c:v>4.0134653024707756</c:v>
                </c:pt>
                <c:pt idx="33">
                  <c:v>3.9625625089661591</c:v>
                </c:pt>
                <c:pt idx="34">
                  <c:v>3.9794392053232599</c:v>
                </c:pt>
                <c:pt idx="35">
                  <c:v>4.055961176052195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2F-406E-81EF-879194E23642}"/>
            </c:ext>
          </c:extLst>
        </c:ser>
        <c:ser>
          <c:idx val="2"/>
          <c:order val="2"/>
          <c:tx>
            <c:strRef>
              <c:f>'overLogN^2'!$D$1</c:f>
              <c:strCache>
                <c:ptCount val="1"/>
                <c:pt idx="0">
                  <c:v>log(TSPaverage3)/(log(N)^2)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'overLogN^2'!$A$2:$A$37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'overLogN^2'!$D$2:$D$37</c:f>
              <c:numCache>
                <c:formatCode>General</c:formatCode>
                <c:ptCount val="36"/>
                <c:pt idx="0">
                  <c:v>2.7477182834230547</c:v>
                </c:pt>
                <c:pt idx="1">
                  <c:v>2.9484272972327275</c:v>
                </c:pt>
                <c:pt idx="2">
                  <c:v>2.7496687298585782</c:v>
                </c:pt>
                <c:pt idx="3">
                  <c:v>2.9831464408378214</c:v>
                </c:pt>
                <c:pt idx="4">
                  <c:v>3.0627499974677814</c:v>
                </c:pt>
                <c:pt idx="5">
                  <c:v>2.8388490907372552</c:v>
                </c:pt>
                <c:pt idx="6">
                  <c:v>2.6818703910236255</c:v>
                </c:pt>
                <c:pt idx="7">
                  <c:v>2.4931756234040483</c:v>
                </c:pt>
                <c:pt idx="8">
                  <c:v>3.4514526353937263</c:v>
                </c:pt>
                <c:pt idx="9">
                  <c:v>3.0588373482438564</c:v>
                </c:pt>
                <c:pt idx="10">
                  <c:v>2.7290589560652108</c:v>
                </c:pt>
                <c:pt idx="11">
                  <c:v>3.122956883096454</c:v>
                </c:pt>
                <c:pt idx="12">
                  <c:v>3.2004002531005717</c:v>
                </c:pt>
                <c:pt idx="13">
                  <c:v>2.6628644547500113</c:v>
                </c:pt>
                <c:pt idx="14">
                  <c:v>2.3785739738808718</c:v>
                </c:pt>
                <c:pt idx="15">
                  <c:v>2.7205285199508165</c:v>
                </c:pt>
                <c:pt idx="16">
                  <c:v>3.7059766617043479</c:v>
                </c:pt>
                <c:pt idx="17">
                  <c:v>3.047372340838626</c:v>
                </c:pt>
                <c:pt idx="18">
                  <c:v>3.1892009529501131</c:v>
                </c:pt>
                <c:pt idx="19">
                  <c:v>2.8518178338440641</c:v>
                </c:pt>
                <c:pt idx="20">
                  <c:v>3.1618628159789806</c:v>
                </c:pt>
                <c:pt idx="21">
                  <c:v>2.9793603194211049</c:v>
                </c:pt>
                <c:pt idx="22">
                  <c:v>3.1287727225232813</c:v>
                </c:pt>
                <c:pt idx="23">
                  <c:v>2.7063046386435259</c:v>
                </c:pt>
                <c:pt idx="24">
                  <c:v>3.1393593589006143</c:v>
                </c:pt>
                <c:pt idx="25">
                  <c:v>3.5488242112954986</c:v>
                </c:pt>
                <c:pt idx="26">
                  <c:v>3.4349832423367337</c:v>
                </c:pt>
                <c:pt idx="27">
                  <c:v>3.1046872317832737</c:v>
                </c:pt>
                <c:pt idx="28">
                  <c:v>3.0194555397114375</c:v>
                </c:pt>
                <c:pt idx="29">
                  <c:v>3.5640541503558292</c:v>
                </c:pt>
                <c:pt idx="30">
                  <c:v>2.8703230332580563</c:v>
                </c:pt>
                <c:pt idx="31">
                  <c:v>3.7258894095364856</c:v>
                </c:pt>
                <c:pt idx="32">
                  <c:v>3.5601852736466624</c:v>
                </c:pt>
                <c:pt idx="33">
                  <c:v>3.7629302874802968</c:v>
                </c:pt>
                <c:pt idx="34">
                  <c:v>2.626628755750728</c:v>
                </c:pt>
                <c:pt idx="35">
                  <c:v>2.9661726723122586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2F-406E-81EF-879194E23642}"/>
            </c:ext>
          </c:extLst>
        </c:ser>
        <c:ser>
          <c:idx val="3"/>
          <c:order val="3"/>
          <c:tx>
            <c:strRef>
              <c:f>'overLogN^2'!$E$1</c:f>
              <c:strCache>
                <c:ptCount val="1"/>
                <c:pt idx="0">
                  <c:v>log(TSPmax3)/(log(N)^2)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'overLogN^2'!$A$2:$A$37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'overLogN^2'!$E$2:$E$37</c:f>
              <c:numCache>
                <c:formatCode>General</c:formatCode>
                <c:ptCount val="36"/>
                <c:pt idx="0">
                  <c:v>3.0525719297556591</c:v>
                </c:pt>
                <c:pt idx="1">
                  <c:v>3.3969266028953724</c:v>
                </c:pt>
                <c:pt idx="2">
                  <c:v>2.9112410090112824</c:v>
                </c:pt>
                <c:pt idx="3">
                  <c:v>3.2265027525173711</c:v>
                </c:pt>
                <c:pt idx="4">
                  <c:v>3.3987398928257355</c:v>
                </c:pt>
                <c:pt idx="5">
                  <c:v>3.0161973535124389</c:v>
                </c:pt>
                <c:pt idx="6">
                  <c:v>2.9960370477030791</c:v>
                </c:pt>
                <c:pt idx="7">
                  <c:v>2.6618067332615709</c:v>
                </c:pt>
                <c:pt idx="8">
                  <c:v>3.7731529818964482</c:v>
                </c:pt>
                <c:pt idx="9">
                  <c:v>3.2933782947482571</c:v>
                </c:pt>
                <c:pt idx="10">
                  <c:v>2.9789402552597659</c:v>
                </c:pt>
                <c:pt idx="11">
                  <c:v>3.3063705894389184</c:v>
                </c:pt>
                <c:pt idx="12">
                  <c:v>3.4440245428977474</c:v>
                </c:pt>
                <c:pt idx="13">
                  <c:v>2.9331617809825254</c:v>
                </c:pt>
                <c:pt idx="14">
                  <c:v>2.5832891138844944</c:v>
                </c:pt>
                <c:pt idx="15">
                  <c:v>2.8800962804646395</c:v>
                </c:pt>
                <c:pt idx="16">
                  <c:v>3.972656458769221</c:v>
                </c:pt>
                <c:pt idx="17">
                  <c:v>3.1708719692221767</c:v>
                </c:pt>
                <c:pt idx="18">
                  <c:v>3.4196261475425258</c:v>
                </c:pt>
                <c:pt idx="19">
                  <c:v>3.0920201462456305</c:v>
                </c:pt>
                <c:pt idx="20">
                  <c:v>3.3262437947958943</c:v>
                </c:pt>
                <c:pt idx="21">
                  <c:v>3.1425282384159803</c:v>
                </c:pt>
                <c:pt idx="22">
                  <c:v>3.2388323194215198</c:v>
                </c:pt>
                <c:pt idx="23">
                  <c:v>2.7737780868220145</c:v>
                </c:pt>
                <c:pt idx="24">
                  <c:v>3.3235030891590465</c:v>
                </c:pt>
                <c:pt idx="25">
                  <c:v>3.7564215583237872</c:v>
                </c:pt>
                <c:pt idx="26">
                  <c:v>3.6397217553896337</c:v>
                </c:pt>
                <c:pt idx="27">
                  <c:v>3.2987192782231705</c:v>
                </c:pt>
                <c:pt idx="28">
                  <c:v>3.1705634589331408</c:v>
                </c:pt>
                <c:pt idx="29">
                  <c:v>3.7658764753843532</c:v>
                </c:pt>
                <c:pt idx="30">
                  <c:v>2.9785058148023165</c:v>
                </c:pt>
                <c:pt idx="31">
                  <c:v>3.9119026576503453</c:v>
                </c:pt>
                <c:pt idx="32">
                  <c:v>3.7488483369562946</c:v>
                </c:pt>
                <c:pt idx="33">
                  <c:v>3.9525330790621158</c:v>
                </c:pt>
                <c:pt idx="34">
                  <c:v>2.7370145920798556</c:v>
                </c:pt>
                <c:pt idx="35">
                  <c:v>3.1143447709195304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2F-406E-81EF-879194E23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22208"/>
        <c:axId val="1400234208"/>
      </c:scatterChart>
      <c:valAx>
        <c:axId val="140022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34208"/>
        <c:crosses val="autoZero"/>
        <c:crossBetween val="midCat"/>
      </c:valAx>
      <c:valAx>
        <c:axId val="14002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2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Log(times)/(log(N)^3)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'overLogN^3'!$B$1</c:f>
              <c:strCache>
                <c:ptCount val="1"/>
                <c:pt idx="0">
                  <c:v>log(knapsackAvg3)/(log(N)^3)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'overLogN^3'!$A$2:$A$37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'overLogN^3'!$B$2:$B$37</c:f>
              <c:numCache>
                <c:formatCode>General</c:formatCode>
                <c:ptCount val="36"/>
                <c:pt idx="0">
                  <c:v>3.4440179463880463</c:v>
                </c:pt>
                <c:pt idx="1">
                  <c:v>2.6113887629895629</c:v>
                </c:pt>
                <c:pt idx="2">
                  <c:v>2.4473431301655495</c:v>
                </c:pt>
                <c:pt idx="3">
                  <c:v>2.2947956023165443</c:v>
                </c:pt>
                <c:pt idx="4">
                  <c:v>2.587109814745213</c:v>
                </c:pt>
                <c:pt idx="5">
                  <c:v>2.2624510897304293</c:v>
                </c:pt>
                <c:pt idx="6">
                  <c:v>2.0775418332344717</c:v>
                </c:pt>
                <c:pt idx="7">
                  <c:v>2.2490546583471995</c:v>
                </c:pt>
                <c:pt idx="8">
                  <c:v>2.1808657341956201</c:v>
                </c:pt>
                <c:pt idx="9">
                  <c:v>2.3169171939069044</c:v>
                </c:pt>
                <c:pt idx="10">
                  <c:v>2.2688707063153775</c:v>
                </c:pt>
                <c:pt idx="11">
                  <c:v>2.2643171433804135</c:v>
                </c:pt>
                <c:pt idx="12">
                  <c:v>2.1981204723093359</c:v>
                </c:pt>
                <c:pt idx="13">
                  <c:v>2.1800238479709093</c:v>
                </c:pt>
                <c:pt idx="14">
                  <c:v>2.1736796014554938</c:v>
                </c:pt>
                <c:pt idx="15">
                  <c:v>2.2895230031402787</c:v>
                </c:pt>
                <c:pt idx="16">
                  <c:v>2.1828231763957682</c:v>
                </c:pt>
                <c:pt idx="17">
                  <c:v>2.2607258874756662</c:v>
                </c:pt>
                <c:pt idx="18">
                  <c:v>2.2010626010038816</c:v>
                </c:pt>
                <c:pt idx="19">
                  <c:v>2.2488512012343111</c:v>
                </c:pt>
                <c:pt idx="20">
                  <c:v>2.3184592908930872</c:v>
                </c:pt>
                <c:pt idx="21">
                  <c:v>2.0924124003103035</c:v>
                </c:pt>
                <c:pt idx="22">
                  <c:v>2.308759755229072</c:v>
                </c:pt>
                <c:pt idx="23">
                  <c:v>2.2899935992524387</c:v>
                </c:pt>
                <c:pt idx="24">
                  <c:v>2.3717181930803974</c:v>
                </c:pt>
                <c:pt idx="25">
                  <c:v>2.3983986394005443</c:v>
                </c:pt>
                <c:pt idx="26">
                  <c:v>2.3833719394508961</c:v>
                </c:pt>
                <c:pt idx="27">
                  <c:v>2.3805532690768283</c:v>
                </c:pt>
                <c:pt idx="28">
                  <c:v>2.387795698065255</c:v>
                </c:pt>
                <c:pt idx="29">
                  <c:v>2.4312998212887047</c:v>
                </c:pt>
                <c:pt idx="30">
                  <c:v>2.4178253744615499</c:v>
                </c:pt>
                <c:pt idx="31">
                  <c:v>2.220502624096357</c:v>
                </c:pt>
                <c:pt idx="32">
                  <c:v>2.4684601353267532</c:v>
                </c:pt>
                <c:pt idx="33">
                  <c:v>2.3897263226890173</c:v>
                </c:pt>
                <c:pt idx="34">
                  <c:v>2.3845064132431473</c:v>
                </c:pt>
                <c:pt idx="35">
                  <c:v>2.4168060332292733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5A-4C8F-B8FF-6F68415B8D46}"/>
            </c:ext>
          </c:extLst>
        </c:ser>
        <c:ser>
          <c:idx val="1"/>
          <c:order val="1"/>
          <c:tx>
            <c:strRef>
              <c:f>'overLogN^3'!$C$1</c:f>
              <c:strCache>
                <c:ptCount val="1"/>
                <c:pt idx="0">
                  <c:v>log(knapsackMax3)/(log(N)^3)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'overLogN^3'!$A$2:$A$37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'overLogN^3'!$C$2:$C$37</c:f>
              <c:numCache>
                <c:formatCode>General</c:formatCode>
                <c:ptCount val="36"/>
                <c:pt idx="0">
                  <c:v>3.6758890961016721</c:v>
                </c:pt>
                <c:pt idx="1">
                  <c:v>2.8900027522013843</c:v>
                </c:pt>
                <c:pt idx="2">
                  <c:v>2.800372516388693</c:v>
                </c:pt>
                <c:pt idx="3">
                  <c:v>2.6195907788880781</c:v>
                </c:pt>
                <c:pt idx="4">
                  <c:v>2.7455065844856024</c:v>
                </c:pt>
                <c:pt idx="5">
                  <c:v>2.3909351071033793</c:v>
                </c:pt>
                <c:pt idx="6">
                  <c:v>2.2217344384942144</c:v>
                </c:pt>
                <c:pt idx="7">
                  <c:v>2.3462653993083902</c:v>
                </c:pt>
                <c:pt idx="8">
                  <c:v>2.2658127561869281</c:v>
                </c:pt>
                <c:pt idx="9">
                  <c:v>2.400954220662217</c:v>
                </c:pt>
                <c:pt idx="10">
                  <c:v>2.3372602083460214</c:v>
                </c:pt>
                <c:pt idx="11">
                  <c:v>2.2910604700800983</c:v>
                </c:pt>
                <c:pt idx="12">
                  <c:v>2.2099030926280641</c:v>
                </c:pt>
                <c:pt idx="13">
                  <c:v>2.26076055109522</c:v>
                </c:pt>
                <c:pt idx="14">
                  <c:v>2.2360318455463104</c:v>
                </c:pt>
                <c:pt idx="15">
                  <c:v>2.3571224707541503</c:v>
                </c:pt>
                <c:pt idx="16">
                  <c:v>2.2516558018519652</c:v>
                </c:pt>
                <c:pt idx="17">
                  <c:v>2.3105160046292115</c:v>
                </c:pt>
                <c:pt idx="18">
                  <c:v>2.3092945257567838</c:v>
                </c:pt>
                <c:pt idx="19">
                  <c:v>2.3595323984464365</c:v>
                </c:pt>
                <c:pt idx="20">
                  <c:v>2.3939847517613422</c:v>
                </c:pt>
                <c:pt idx="21">
                  <c:v>2.213853218650768</c:v>
                </c:pt>
                <c:pt idx="22">
                  <c:v>2.4221246474612146</c:v>
                </c:pt>
                <c:pt idx="23">
                  <c:v>2.3404319279096844</c:v>
                </c:pt>
                <c:pt idx="24">
                  <c:v>2.3919906871597845</c:v>
                </c:pt>
                <c:pt idx="25">
                  <c:v>2.4808264565920344</c:v>
                </c:pt>
                <c:pt idx="26">
                  <c:v>2.4189953511507416</c:v>
                </c:pt>
                <c:pt idx="27">
                  <c:v>2.4324045264195404</c:v>
                </c:pt>
                <c:pt idx="28">
                  <c:v>2.4256803499205914</c:v>
                </c:pt>
                <c:pt idx="29">
                  <c:v>2.4880427802680485</c:v>
                </c:pt>
                <c:pt idx="30">
                  <c:v>2.4654755097419492</c:v>
                </c:pt>
                <c:pt idx="31">
                  <c:v>2.3334685871257372</c:v>
                </c:pt>
                <c:pt idx="32">
                  <c:v>2.5592787208919794</c:v>
                </c:pt>
                <c:pt idx="33">
                  <c:v>2.5082945015077986</c:v>
                </c:pt>
                <c:pt idx="34">
                  <c:v>2.5011172945141018</c:v>
                </c:pt>
                <c:pt idx="35">
                  <c:v>2.5317161641931847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5A-4C8F-B8FF-6F68415B8D46}"/>
            </c:ext>
          </c:extLst>
        </c:ser>
        <c:ser>
          <c:idx val="2"/>
          <c:order val="2"/>
          <c:tx>
            <c:strRef>
              <c:f>'overLogN^3'!$D$1</c:f>
              <c:strCache>
                <c:ptCount val="1"/>
                <c:pt idx="0">
                  <c:v>log(TSPaverage3)/(log(N)^3)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'overLogN^3'!$A$2:$A$37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'overLogN^3'!$D$2:$D$37</c:f>
              <c:numCache>
                <c:formatCode>General</c:formatCode>
                <c:ptCount val="36"/>
                <c:pt idx="0">
                  <c:v>3.9310961362830277</c:v>
                </c:pt>
                <c:pt idx="1">
                  <c:v>3.7890156904317704</c:v>
                </c:pt>
                <c:pt idx="2">
                  <c:v>3.2536683315609056</c:v>
                </c:pt>
                <c:pt idx="3">
                  <c:v>3.3032659909941335</c:v>
                </c:pt>
                <c:pt idx="4">
                  <c:v>3.2096138740112634</c:v>
                </c:pt>
                <c:pt idx="5">
                  <c:v>2.8388490907372552</c:v>
                </c:pt>
                <c:pt idx="6">
                  <c:v>2.5752729294580674</c:v>
                </c:pt>
                <c:pt idx="7">
                  <c:v>2.3102473588519188</c:v>
                </c:pt>
                <c:pt idx="8">
                  <c:v>3.0984094731982572</c:v>
                </c:pt>
                <c:pt idx="9">
                  <c:v>2.6688443638268957</c:v>
                </c:pt>
                <c:pt idx="10">
                  <c:v>2.3204482943410811</c:v>
                </c:pt>
                <c:pt idx="11">
                  <c:v>2.593559552269995</c:v>
                </c:pt>
                <c:pt idx="12">
                  <c:v>2.6010021200357332</c:v>
                </c:pt>
                <c:pt idx="13">
                  <c:v>2.121343727297575</c:v>
                </c:pt>
                <c:pt idx="14">
                  <c:v>1.8600721609765489</c:v>
                </c:pt>
                <c:pt idx="15">
                  <c:v>2.091057492154432</c:v>
                </c:pt>
                <c:pt idx="16">
                  <c:v>2.8028456977328644</c:v>
                </c:pt>
                <c:pt idx="17">
                  <c:v>2.2700542715593675</c:v>
                </c:pt>
                <c:pt idx="18">
                  <c:v>2.3420252333807108</c:v>
                </c:pt>
                <c:pt idx="19">
                  <c:v>2.0662183785052441</c:v>
                </c:pt>
                <c:pt idx="20">
                  <c:v>2.2618015053325267</c:v>
                </c:pt>
                <c:pt idx="21">
                  <c:v>2.105594655682907</c:v>
                </c:pt>
                <c:pt idx="22">
                  <c:v>2.185868331214619</c:v>
                </c:pt>
                <c:pt idx="23">
                  <c:v>1.8700823130791497</c:v>
                </c:pt>
                <c:pt idx="24">
                  <c:v>2.146720224871046</c:v>
                </c:pt>
                <c:pt idx="25">
                  <c:v>2.4025273483516543</c:v>
                </c:pt>
                <c:pt idx="26">
                  <c:v>2.3032529644136384</c:v>
                </c:pt>
                <c:pt idx="27">
                  <c:v>2.0627095482197855</c:v>
                </c:pt>
                <c:pt idx="28">
                  <c:v>1.9884279362982005</c:v>
                </c:pt>
                <c:pt idx="29">
                  <c:v>2.3271976588741334</c:v>
                </c:pt>
                <c:pt idx="30">
                  <c:v>1.8589355849701896</c:v>
                </c:pt>
                <c:pt idx="31">
                  <c:v>2.3940650405043686</c:v>
                </c:pt>
                <c:pt idx="32">
                  <c:v>2.2702342555864758</c:v>
                </c:pt>
                <c:pt idx="33">
                  <c:v>2.3819276865127668</c:v>
                </c:pt>
                <c:pt idx="34">
                  <c:v>1.6508624125952802</c:v>
                </c:pt>
                <c:pt idx="35">
                  <c:v>1.8514741572527325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5A-4C8F-B8FF-6F68415B8D46}"/>
            </c:ext>
          </c:extLst>
        </c:ser>
        <c:ser>
          <c:idx val="3"/>
          <c:order val="3"/>
          <c:tx>
            <c:strRef>
              <c:f>'overLogN^3'!$E$1</c:f>
              <c:strCache>
                <c:ptCount val="1"/>
                <c:pt idx="0">
                  <c:v>log(TSPmax3)/(log(N)^3)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'overLogN^3'!$A$2:$A$37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'overLogN^3'!$E$2:$E$37</c:f>
              <c:numCache>
                <c:formatCode>General</c:formatCode>
                <c:ptCount val="36"/>
                <c:pt idx="0">
                  <c:v>4.3672431017342808</c:v>
                </c:pt>
                <c:pt idx="1">
                  <c:v>4.3653808963496772</c:v>
                </c:pt>
                <c:pt idx="2">
                  <c:v>3.4448559470829796</c:v>
                </c:pt>
                <c:pt idx="3">
                  <c:v>3.5727367139396211</c:v>
                </c:pt>
                <c:pt idx="4">
                  <c:v>3.5617150349157058</c:v>
                </c:pt>
                <c:pt idx="5">
                  <c:v>3.0161973535124389</c:v>
                </c:pt>
                <c:pt idx="6">
                  <c:v>2.8769522682482385</c:v>
                </c:pt>
                <c:pt idx="7">
                  <c:v>2.4665057357233802</c:v>
                </c:pt>
                <c:pt idx="8">
                  <c:v>3.3872036437784043</c:v>
                </c:pt>
                <c:pt idx="9">
                  <c:v>2.8734820126787599</c:v>
                </c:pt>
                <c:pt idx="10">
                  <c:v>2.5329159045460852</c:v>
                </c:pt>
                <c:pt idx="11">
                  <c:v>2.7458813382916083</c:v>
                </c:pt>
                <c:pt idx="12">
                  <c:v>2.7989983842969774</c:v>
                </c:pt>
                <c:pt idx="13">
                  <c:v>2.3366733271522846</c:v>
                </c:pt>
                <c:pt idx="14">
                  <c:v>2.020161751223712</c:v>
                </c:pt>
                <c:pt idx="15">
                  <c:v>2.2137047493626625</c:v>
                </c:pt>
                <c:pt idx="16">
                  <c:v>3.0045367471124904</c:v>
                </c:pt>
                <c:pt idx="17">
                  <c:v>2.3620518444161593</c:v>
                </c:pt>
                <c:pt idx="18">
                  <c:v>2.5112405409463525</c:v>
                </c:pt>
                <c:pt idx="19">
                  <c:v>2.2402513852960673</c:v>
                </c:pt>
                <c:pt idx="20">
                  <c:v>2.3793895118257855</c:v>
                </c:pt>
                <c:pt idx="21">
                  <c:v>2.2209098446430886</c:v>
                </c:pt>
                <c:pt idx="22">
                  <c:v>2.2627597543832816</c:v>
                </c:pt>
                <c:pt idx="23">
                  <c:v>1.9167071092086423</c:v>
                </c:pt>
                <c:pt idx="24">
                  <c:v>2.2726392500085209</c:v>
                </c:pt>
                <c:pt idx="25">
                  <c:v>2.5430691937587109</c:v>
                </c:pt>
                <c:pt idx="26">
                  <c:v>2.4405359011414283</c:v>
                </c:pt>
                <c:pt idx="27">
                  <c:v>2.1916216494952221</c:v>
                </c:pt>
                <c:pt idx="28">
                  <c:v>2.0879383294881735</c:v>
                </c:pt>
                <c:pt idx="29">
                  <c:v>2.4589802924988282</c:v>
                </c:pt>
                <c:pt idx="30">
                  <c:v>1.9289990656180143</c:v>
                </c:pt>
                <c:pt idx="31">
                  <c:v>2.5135875934927183</c:v>
                </c:pt>
                <c:pt idx="32">
                  <c:v>2.3905396094285511</c:v>
                </c:pt>
                <c:pt idx="33">
                  <c:v>2.5019458915301271</c:v>
                </c:pt>
                <c:pt idx="34">
                  <c:v>1.7202410134651875</c:v>
                </c:pt>
                <c:pt idx="35">
                  <c:v>1.9439626404614359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5A-4C8F-B8FF-6F68415B8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185248"/>
        <c:axId val="1400202048"/>
      </c:scatterChart>
      <c:valAx>
        <c:axId val="140018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02048"/>
        <c:crosses val="autoZero"/>
        <c:crossBetween val="midCat"/>
      </c:valAx>
      <c:valAx>
        <c:axId val="140020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185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Log(times)/(log(N)^4)</a:t>
            </a:r>
            <a:endParaRPr lang="zh-TW" alt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'overLogN^4'!$B$1</c:f>
              <c:strCache>
                <c:ptCount val="1"/>
                <c:pt idx="0">
                  <c:v>log(knapsackAvg3)/(log(N)^4)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'overLogN^4'!$A$2:$A$37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'overLogN^4'!$B$2:$B$37</c:f>
              <c:numCache>
                <c:formatCode>General</c:formatCode>
                <c:ptCount val="36"/>
                <c:pt idx="0">
                  <c:v>7.0493378985012001</c:v>
                </c:pt>
                <c:pt idx="1">
                  <c:v>4.3126428301909812</c:v>
                </c:pt>
                <c:pt idx="2">
                  <c:v>3.4267362199441402</c:v>
                </c:pt>
                <c:pt idx="3">
                  <c:v>2.8137269792832216</c:v>
                </c:pt>
                <c:pt idx="4">
                  <c:v>2.8411708124681234</c:v>
                </c:pt>
                <c:pt idx="5">
                  <c:v>2.2624510897304293</c:v>
                </c:pt>
                <c:pt idx="6">
                  <c:v>1.9156701487197647</c:v>
                </c:pt>
                <c:pt idx="7">
                  <c:v>1.9311287564227995</c:v>
                </c:pt>
                <c:pt idx="8">
                  <c:v>1.7575298778281991</c:v>
                </c:pt>
                <c:pt idx="9">
                  <c:v>1.763779296259244</c:v>
                </c:pt>
                <c:pt idx="10">
                  <c:v>1.6403166887564806</c:v>
                </c:pt>
                <c:pt idx="11">
                  <c:v>1.5617004207793843</c:v>
                </c:pt>
                <c:pt idx="12">
                  <c:v>1.4518585661036751</c:v>
                </c:pt>
                <c:pt idx="13">
                  <c:v>1.383519267896661</c:v>
                </c:pt>
                <c:pt idx="14">
                  <c:v>1.3292962832330149</c:v>
                </c:pt>
                <c:pt idx="15">
                  <c:v>1.3526031433175465</c:v>
                </c:pt>
                <c:pt idx="16">
                  <c:v>1.2485662045271968</c:v>
                </c:pt>
                <c:pt idx="17">
                  <c:v>1.2544961855863976</c:v>
                </c:pt>
                <c:pt idx="18">
                  <c:v>1.1870028565097288</c:v>
                </c:pt>
                <c:pt idx="19">
                  <c:v>1.1805098085054637</c:v>
                </c:pt>
                <c:pt idx="20">
                  <c:v>1.1863761455254176</c:v>
                </c:pt>
                <c:pt idx="21">
                  <c:v>1.0450829578112169</c:v>
                </c:pt>
                <c:pt idx="22">
                  <c:v>1.126882686218095</c:v>
                </c:pt>
                <c:pt idx="23">
                  <c:v>1.0934586137632218</c:v>
                </c:pt>
                <c:pt idx="24">
                  <c:v>1.1090009479331395</c:v>
                </c:pt>
                <c:pt idx="25">
                  <c:v>1.0992312701327436</c:v>
                </c:pt>
                <c:pt idx="26">
                  <c:v>1.0715830960713937</c:v>
                </c:pt>
                <c:pt idx="27">
                  <c:v>1.0507958542110798</c:v>
                </c:pt>
                <c:pt idx="28">
                  <c:v>1.0355226419280452</c:v>
                </c:pt>
                <c:pt idx="29">
                  <c:v>1.0366125755740403</c:v>
                </c:pt>
                <c:pt idx="30">
                  <c:v>1.0141263358468096</c:v>
                </c:pt>
                <c:pt idx="31">
                  <c:v>0.91677605197572865</c:v>
                </c:pt>
                <c:pt idx="32">
                  <c:v>1.0037423861270895</c:v>
                </c:pt>
                <c:pt idx="33">
                  <c:v>0.9575312734136292</c:v>
                </c:pt>
                <c:pt idx="34">
                  <c:v>0.94193918647100439</c:v>
                </c:pt>
                <c:pt idx="35">
                  <c:v>0.94163858667695199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F-496A-A51C-1E1D21990E20}"/>
            </c:ext>
          </c:extLst>
        </c:ser>
        <c:ser>
          <c:idx val="1"/>
          <c:order val="1"/>
          <c:tx>
            <c:strRef>
              <c:f>'overLogN^4'!$C$1</c:f>
              <c:strCache>
                <c:ptCount val="1"/>
                <c:pt idx="0">
                  <c:v>log(knapsackMax3)/(log(N)^4)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'overLogN^4'!$A$2:$A$37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'overLogN^4'!$C$2:$C$37</c:f>
              <c:numCache>
                <c:formatCode>General</c:formatCode>
                <c:ptCount val="36"/>
                <c:pt idx="0">
                  <c:v>7.5239399791783779</c:v>
                </c:pt>
                <c:pt idx="1">
                  <c:v>4.7727668224492996</c:v>
                </c:pt>
                <c:pt idx="2">
                  <c:v>3.9210431152725702</c:v>
                </c:pt>
                <c:pt idx="3">
                  <c:v>3.2119693979708974</c:v>
                </c:pt>
                <c:pt idx="4">
                  <c:v>3.0151225621815185</c:v>
                </c:pt>
                <c:pt idx="5">
                  <c:v>2.3909351071033793</c:v>
                </c:pt>
                <c:pt idx="6">
                  <c:v>2.0486279862676966</c:v>
                </c:pt>
                <c:pt idx="7">
                  <c:v>2.0145978071222075</c:v>
                </c:pt>
                <c:pt idx="8">
                  <c:v>1.8259875214333519</c:v>
                </c:pt>
                <c:pt idx="9">
                  <c:v>1.8277534289127568</c:v>
                </c:pt>
                <c:pt idx="10">
                  <c:v>1.6897599828165419</c:v>
                </c:pt>
                <c:pt idx="11">
                  <c:v>1.5801453036801898</c:v>
                </c:pt>
                <c:pt idx="12">
                  <c:v>1.4596409867928017</c:v>
                </c:pt>
                <c:pt idx="13">
                  <c:v>1.4347575993043213</c:v>
                </c:pt>
                <c:pt idx="14">
                  <c:v>1.3674272967759773</c:v>
                </c:pt>
                <c:pt idx="15">
                  <c:v>1.3925395196962527</c:v>
                </c:pt>
                <c:pt idx="16">
                  <c:v>1.2879381934463321</c:v>
                </c:pt>
                <c:pt idx="17">
                  <c:v>1.2821251486531084</c:v>
                </c:pt>
                <c:pt idx="18">
                  <c:v>1.2453708483099832</c:v>
                </c:pt>
                <c:pt idx="19">
                  <c:v>1.2386106907934191</c:v>
                </c:pt>
                <c:pt idx="20">
                  <c:v>1.2250231925129864</c:v>
                </c:pt>
                <c:pt idx="21">
                  <c:v>1.1057381754974842</c:v>
                </c:pt>
                <c:pt idx="22">
                  <c:v>1.1822149632088237</c:v>
                </c:pt>
                <c:pt idx="23">
                  <c:v>1.1175426220993543</c:v>
                </c:pt>
                <c:pt idx="24">
                  <c:v>1.1184802424026943</c:v>
                </c:pt>
                <c:pt idx="25">
                  <c:v>1.1370094912746291</c:v>
                </c:pt>
                <c:pt idx="26">
                  <c:v>1.087599667035446</c:v>
                </c:pt>
                <c:pt idx="27">
                  <c:v>1.0736834270115334</c:v>
                </c:pt>
                <c:pt idx="28">
                  <c:v>1.0519521944268411</c:v>
                </c:pt>
                <c:pt idx="29">
                  <c:v>1.0608055872043756</c:v>
                </c:pt>
                <c:pt idx="30">
                  <c:v>1.0341125836564877</c:v>
                </c:pt>
                <c:pt idx="31">
                  <c:v>0.96341616330451274</c:v>
                </c:pt>
                <c:pt idx="32">
                  <c:v>1.0406716694788176</c:v>
                </c:pt>
                <c:pt idx="33">
                  <c:v>1.0050399517810045</c:v>
                </c:pt>
                <c:pt idx="34">
                  <c:v>0.98800337737776589</c:v>
                </c:pt>
                <c:pt idx="35">
                  <c:v>0.98640999647484184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5F-496A-A51C-1E1D21990E20}"/>
            </c:ext>
          </c:extLst>
        </c:ser>
        <c:ser>
          <c:idx val="2"/>
          <c:order val="2"/>
          <c:tx>
            <c:strRef>
              <c:f>'overLogN^4'!$D$1</c:f>
              <c:strCache>
                <c:ptCount val="1"/>
                <c:pt idx="0">
                  <c:v>log(TSPaverage3)/(log(N)^4)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'overLogN^4'!$A$2:$A$37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'overLogN^4'!$D$2:$D$37</c:f>
              <c:numCache>
                <c:formatCode>General</c:formatCode>
                <c:ptCount val="36"/>
                <c:pt idx="0">
                  <c:v>8.0463067868779454</c:v>
                </c:pt>
                <c:pt idx="1">
                  <c:v>6.2574640675540874</c:v>
                </c:pt>
                <c:pt idx="2">
                  <c:v>4.5557416865737066</c:v>
                </c:pt>
                <c:pt idx="3">
                  <c:v>4.0502468408194368</c:v>
                </c:pt>
                <c:pt idx="4">
                  <c:v>3.5248064099017067</c:v>
                </c:pt>
                <c:pt idx="5">
                  <c:v>2.8388490907372552</c:v>
                </c:pt>
                <c:pt idx="6">
                  <c:v>2.3746205235676423</c:v>
                </c:pt>
                <c:pt idx="7">
                  <c:v>1.9836712694245395</c:v>
                </c:pt>
                <c:pt idx="8">
                  <c:v>2.4969658321952481</c:v>
                </c:pt>
                <c:pt idx="9">
                  <c:v>2.0316878161357339</c:v>
                </c:pt>
                <c:pt idx="10">
                  <c:v>1.6776055383012674</c:v>
                </c:pt>
                <c:pt idx="11">
                  <c:v>1.788779039163052</c:v>
                </c:pt>
                <c:pt idx="12">
                  <c:v>1.7179618933535281</c:v>
                </c:pt>
                <c:pt idx="13">
                  <c:v>1.3462788140045516</c:v>
                </c:pt>
                <c:pt idx="14">
                  <c:v>1.1375121745061632</c:v>
                </c:pt>
                <c:pt idx="15">
                  <c:v>1.235353797654112</c:v>
                </c:pt>
                <c:pt idx="16">
                  <c:v>1.6032166290592853</c:v>
                </c:pt>
                <c:pt idx="17">
                  <c:v>1.2596725859255624</c:v>
                </c:pt>
                <c:pt idx="18">
                  <c:v>1.2630220697824965</c:v>
                </c:pt>
                <c:pt idx="19">
                  <c:v>1.0846387084218441</c:v>
                </c:pt>
                <c:pt idx="20">
                  <c:v>1.1573838550369135</c:v>
                </c:pt>
                <c:pt idx="21">
                  <c:v>1.0516670090400186</c:v>
                </c:pt>
                <c:pt idx="22">
                  <c:v>1.066900603763252</c:v>
                </c:pt>
                <c:pt idx="23">
                  <c:v>0.89295341888736468</c:v>
                </c:pt>
                <c:pt idx="24">
                  <c:v>1.0037932715931779</c:v>
                </c:pt>
                <c:pt idx="25">
                  <c:v>1.1011235352090243</c:v>
                </c:pt>
                <c:pt idx="26">
                  <c:v>1.0355609637707714</c:v>
                </c:pt>
                <c:pt idx="27">
                  <c:v>0.91049701339029709</c:v>
                </c:pt>
                <c:pt idx="28">
                  <c:v>0.86232760681637333</c:v>
                </c:pt>
                <c:pt idx="29">
                  <c:v>0.99222742415894405</c:v>
                </c:pt>
                <c:pt idx="30">
                  <c:v>0.77970706787742983</c:v>
                </c:pt>
                <c:pt idx="31">
                  <c:v>0.98843454278731147</c:v>
                </c:pt>
                <c:pt idx="32">
                  <c:v>0.92313840363809951</c:v>
                </c:pt>
                <c:pt idx="33">
                  <c:v>0.95440646453579425</c:v>
                </c:pt>
                <c:pt idx="34">
                  <c:v>0.65213160646550705</c:v>
                </c:pt>
                <c:pt idx="35">
                  <c:v>0.72137336829420762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5F-496A-A51C-1E1D21990E20}"/>
            </c:ext>
          </c:extLst>
        </c:ser>
        <c:ser>
          <c:idx val="3"/>
          <c:order val="3"/>
          <c:tx>
            <c:strRef>
              <c:f>'overLogN^4'!$E$1</c:f>
              <c:strCache>
                <c:ptCount val="1"/>
                <c:pt idx="0">
                  <c:v>log(TSPmax3)/(log(N)^4)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'overLogN^4'!$A$2:$A$37</c:f>
              <c:numCache>
                <c:formatCode>General</c:formatCode>
                <c:ptCount val="3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</c:numCache>
            </c:numRef>
          </c:xVal>
          <c:yVal>
            <c:numRef>
              <c:f>'overLogN^4'!$E$2:$E$37</c:f>
              <c:numCache>
                <c:formatCode>General</c:formatCode>
                <c:ptCount val="36"/>
                <c:pt idx="0">
                  <c:v>8.9390278413940187</c:v>
                </c:pt>
                <c:pt idx="1">
                  <c:v>7.2093167017163715</c:v>
                </c:pt>
                <c:pt idx="2">
                  <c:v>4.8234399585646592</c:v>
                </c:pt>
                <c:pt idx="3">
                  <c:v>4.3806540642398017</c:v>
                </c:pt>
                <c:pt idx="4">
                  <c:v>3.9114848321689748</c:v>
                </c:pt>
                <c:pt idx="5">
                  <c:v>3.0161973535124389</c:v>
                </c:pt>
                <c:pt idx="6">
                  <c:v>2.6527945148494934</c:v>
                </c:pt>
                <c:pt idx="7">
                  <c:v>2.1178409944192116</c:v>
                </c:pt>
                <c:pt idx="8">
                  <c:v>2.729701105797238</c:v>
                </c:pt>
                <c:pt idx="9">
                  <c:v>2.1874705300062542</c:v>
                </c:pt>
                <c:pt idx="10">
                  <c:v>1.8312124255819704</c:v>
                </c:pt>
                <c:pt idx="11">
                  <c:v>1.8938354346504291</c:v>
                </c:pt>
                <c:pt idx="12">
                  <c:v>1.8487384253705414</c:v>
                </c:pt>
                <c:pt idx="13">
                  <c:v>1.4829344981268864</c:v>
                </c:pt>
                <c:pt idx="14">
                  <c:v>1.23541367625341</c:v>
                </c:pt>
                <c:pt idx="15">
                  <c:v>1.3078112769594483</c:v>
                </c:pt>
                <c:pt idx="16">
                  <c:v>1.7185831098325171</c:v>
                </c:pt>
                <c:pt idx="17">
                  <c:v>1.310722828182451</c:v>
                </c:pt>
                <c:pt idx="18">
                  <c:v>1.3542775630855854</c:v>
                </c:pt>
                <c:pt idx="19">
                  <c:v>1.1759954293144947</c:v>
                </c:pt>
                <c:pt idx="20">
                  <c:v>1.2175546790196594</c:v>
                </c:pt>
                <c:pt idx="21">
                  <c:v>1.1092627003775357</c:v>
                </c:pt>
                <c:pt idx="22">
                  <c:v>1.1044305430699242</c:v>
                </c:pt>
                <c:pt idx="23">
                  <c:v>0.91521648763977992</c:v>
                </c:pt>
                <c:pt idx="24">
                  <c:v>1.0626722390218106</c:v>
                </c:pt>
                <c:pt idx="25">
                  <c:v>1.1655365100563633</c:v>
                </c:pt>
                <c:pt idx="26">
                  <c:v>1.0972844706819214</c:v>
                </c:pt>
                <c:pt idx="27">
                  <c:v>0.96739987850887454</c:v>
                </c:pt>
                <c:pt idx="28">
                  <c:v>0.90548258248655877</c:v>
                </c:pt>
                <c:pt idx="29">
                  <c:v>1.048414462080584</c:v>
                </c:pt>
                <c:pt idx="30">
                  <c:v>0.80909431050320313</c:v>
                </c:pt>
                <c:pt idx="31">
                  <c:v>1.0377816649485885</c:v>
                </c:pt>
                <c:pt idx="32">
                  <c:v>0.97205780128246277</c:v>
                </c:pt>
                <c:pt idx="33">
                  <c:v>1.0024961489452531</c:v>
                </c:pt>
                <c:pt idx="34">
                  <c:v>0.67953787490703932</c:v>
                </c:pt>
                <c:pt idx="35">
                  <c:v>0.75740883138686221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5F-496A-A51C-1E1D2199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227488"/>
        <c:axId val="1400222688"/>
      </c:scatterChart>
      <c:valAx>
        <c:axId val="140022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22688"/>
        <c:crosses val="autoZero"/>
        <c:crossBetween val="midCat"/>
      </c:valAx>
      <c:valAx>
        <c:axId val="14002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0227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</xdr:colOff>
      <xdr:row>1</xdr:row>
      <xdr:rowOff>0</xdr:rowOff>
    </xdr:from>
    <xdr:to>
      <xdr:col>21</xdr:col>
      <xdr:colOff>333375</xdr:colOff>
      <xdr:row>32</xdr:row>
      <xdr:rowOff>85724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ED0F990-19DA-41AD-0CD2-CAE0D03CC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</xdr:colOff>
      <xdr:row>1</xdr:row>
      <xdr:rowOff>1</xdr:rowOff>
    </xdr:from>
    <xdr:to>
      <xdr:col>19</xdr:col>
      <xdr:colOff>361950</xdr:colOff>
      <xdr:row>32</xdr:row>
      <xdr:rowOff>66676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826E942-0911-7C4D-A266-83CDC268F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9525</xdr:rowOff>
    </xdr:from>
    <xdr:to>
      <xdr:col>19</xdr:col>
      <xdr:colOff>419100</xdr:colOff>
      <xdr:row>32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443A3A6-6E04-AF06-0870-5B02E8387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195262</xdr:rowOff>
    </xdr:from>
    <xdr:to>
      <xdr:col>19</xdr:col>
      <xdr:colOff>381000</xdr:colOff>
      <xdr:row>32</xdr:row>
      <xdr:rowOff>95250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7988E72-AA30-138D-A3E1-3B0588C81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RowHeight="15.75" x14ac:dyDescent="0.25"/>
  <cols>
    <col min="1" max="1" width="3.7109375" bestFit="1" customWidth="1"/>
    <col min="2" max="2" width="13" bestFit="1" customWidth="1"/>
    <col min="3" max="3" width="15.7109375" bestFit="1" customWidth="1"/>
    <col min="4" max="4" width="16.140625" bestFit="1" customWidth="1"/>
    <col min="5" max="5" width="14.42578125" bestFit="1" customWidth="1"/>
    <col min="6" max="6" width="13.85546875" bestFit="1" customWidth="1"/>
    <col min="7" max="7" width="21" bestFit="1" customWidth="1"/>
    <col min="8" max="8" width="21.42578125" bestFit="1" customWidth="1"/>
    <col min="9" max="9" width="19.7109375" bestFit="1" customWidth="1"/>
    <col min="10" max="10" width="16.140625" bestFit="1" customWidth="1"/>
    <col min="11" max="12" width="13" bestFit="1" customWidth="1"/>
    <col min="13" max="13" width="11.85546875" bestFit="1" customWidth="1"/>
    <col min="14" max="17" width="13" bestFit="1" customWidth="1"/>
    <col min="18" max="18" width="11.85546875" bestFit="1" customWidth="1"/>
    <col min="19" max="26" width="13" bestFit="1" customWidth="1"/>
  </cols>
  <sheetData>
    <row r="1" spans="1:26" s="2" customFormat="1" x14ac:dyDescent="0.25">
      <c r="A1" s="2" t="s">
        <v>0</v>
      </c>
      <c r="B1" s="2" t="s">
        <v>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 x14ac:dyDescent="0.25">
      <c r="A2">
        <v>5</v>
      </c>
      <c r="B2">
        <f>LOG(A2)</f>
        <v>0.69897000433601886</v>
      </c>
      <c r="C2">
        <v>15</v>
      </c>
      <c r="D2">
        <v>18</v>
      </c>
      <c r="E2">
        <v>22</v>
      </c>
      <c r="F2">
        <v>31</v>
      </c>
      <c r="G2">
        <f>LOG(C2)</f>
        <v>1.1760912590556813</v>
      </c>
      <c r="H2">
        <f>LOG(D2)</f>
        <v>1.255272505103306</v>
      </c>
      <c r="I2">
        <f>LOG(E2)</f>
        <v>1.3424226808222062</v>
      </c>
      <c r="J2">
        <f>LOG(F2)</f>
        <v>1.4913616938342726</v>
      </c>
      <c r="K2">
        <f>G2/$B2</f>
        <v>1.6826061944859854</v>
      </c>
      <c r="L2">
        <f>H2/$B2</f>
        <v>1.7958889470453634</v>
      </c>
      <c r="M2">
        <f>I2/$B2</f>
        <v>1.9205726604783708</v>
      </c>
      <c r="N2">
        <f>J2/$B2</f>
        <v>2.1336562149773224</v>
      </c>
      <c r="O2">
        <f>G2/($B2^2)</f>
        <v>2.4072652389201794</v>
      </c>
      <c r="P2">
        <f t="shared" ref="P2:R2" si="0">H2/($B2^2)</f>
        <v>2.5693362174409105</v>
      </c>
      <c r="Q2">
        <f t="shared" si="0"/>
        <v>2.7477182834230547</v>
      </c>
      <c r="R2">
        <f t="shared" si="0"/>
        <v>3.0525719297556591</v>
      </c>
      <c r="S2">
        <f>G2/($B2^3)</f>
        <v>3.4440179463880463</v>
      </c>
      <c r="T2">
        <f t="shared" ref="T2:V2" si="1">H2/($B2^3)</f>
        <v>3.6758890961016721</v>
      </c>
      <c r="U2">
        <f t="shared" si="1"/>
        <v>3.9310961362830277</v>
      </c>
      <c r="V2">
        <f t="shared" si="1"/>
        <v>4.3672431017342808</v>
      </c>
      <c r="W2">
        <f>K2/($B2^4)</f>
        <v>7.0493378985012001</v>
      </c>
      <c r="X2">
        <f>L2/($B2^4)</f>
        <v>7.5239399791783779</v>
      </c>
      <c r="Y2">
        <f>M2/($B2^4)</f>
        <v>8.0463067868779454</v>
      </c>
      <c r="Z2">
        <f>N2/($B2^4)</f>
        <v>8.9390278413940187</v>
      </c>
    </row>
    <row r="3" spans="1:26" x14ac:dyDescent="0.25">
      <c r="A3">
        <v>6</v>
      </c>
      <c r="B3">
        <f t="shared" ref="B3:B37" si="2">LOG(A3)</f>
        <v>0.77815125038364363</v>
      </c>
      <c r="C3">
        <v>17</v>
      </c>
      <c r="D3">
        <v>23</v>
      </c>
      <c r="E3">
        <v>61</v>
      </c>
      <c r="F3">
        <v>114</v>
      </c>
      <c r="G3">
        <f t="shared" ref="G3:G37" si="3">LOG(C3)</f>
        <v>1.2304489213782739</v>
      </c>
      <c r="H3">
        <f t="shared" ref="H3:H37" si="4">LOG(D3)</f>
        <v>1.3617278360175928</v>
      </c>
      <c r="I3">
        <f t="shared" ref="I3:I37" si="5">LOG(E3)</f>
        <v>1.7853298350107671</v>
      </c>
      <c r="J3">
        <f t="shared" ref="J3:J37" si="6">LOG(F3)</f>
        <v>2.0569048513364727</v>
      </c>
      <c r="K3">
        <f t="shared" ref="K3:K37" si="7">G3/$B3</f>
        <v>1.5812464746045691</v>
      </c>
      <c r="L3">
        <f t="shared" ref="L3:L37" si="8">H3/$B3</f>
        <v>1.7499526414000295</v>
      </c>
      <c r="M3">
        <f t="shared" ref="M3:M37" si="9">I3/$B3</f>
        <v>2.2943223880069139</v>
      </c>
      <c r="N3">
        <f t="shared" ref="N3:N37" si="10">J3/$B3</f>
        <v>2.643322683504497</v>
      </c>
      <c r="O3">
        <f t="shared" ref="O3:O37" si="11">G3/($B3^2)</f>
        <v>2.0320554311581249</v>
      </c>
      <c r="P3">
        <f t="shared" ref="P3:P37" si="12">H3/($B3^2)</f>
        <v>2.2488592552376789</v>
      </c>
      <c r="Q3">
        <f t="shared" ref="Q3:Q37" si="13">I3/($B3^2)</f>
        <v>2.9484272972327275</v>
      </c>
      <c r="R3">
        <f t="shared" ref="R3:R37" si="14">J3/($B3^2)</f>
        <v>3.3969266028953724</v>
      </c>
      <c r="S3">
        <f t="shared" ref="S3:S37" si="15">G3/($B3^3)</f>
        <v>2.6113887629895629</v>
      </c>
      <c r="T3">
        <f t="shared" ref="T3:T37" si="16">H3/($B3^3)</f>
        <v>2.8900027522013843</v>
      </c>
      <c r="U3">
        <f t="shared" ref="U3:U37" si="17">I3/($B3^3)</f>
        <v>3.7890156904317704</v>
      </c>
      <c r="V3">
        <f t="shared" ref="V3:V37" si="18">J3/($B3^3)</f>
        <v>4.3653808963496772</v>
      </c>
      <c r="W3">
        <f t="shared" ref="W3:W37" si="19">K3/($B3^4)</f>
        <v>4.3126428301909812</v>
      </c>
      <c r="X3">
        <f t="shared" ref="X3:X37" si="20">L3/($B3^4)</f>
        <v>4.7727668224492996</v>
      </c>
      <c r="Y3">
        <f t="shared" ref="Y3:Y37" si="21">M3/($B3^4)</f>
        <v>6.2574640675540874</v>
      </c>
      <c r="Z3">
        <f t="shared" ref="Z3:Z37" si="22">N3/($B3^4)</f>
        <v>7.2093167017163715</v>
      </c>
    </row>
    <row r="4" spans="1:26" x14ac:dyDescent="0.25">
      <c r="A4">
        <v>7</v>
      </c>
      <c r="B4">
        <f t="shared" si="2"/>
        <v>0.84509804001425681</v>
      </c>
      <c r="C4">
        <v>30</v>
      </c>
      <c r="D4">
        <v>49</v>
      </c>
      <c r="E4">
        <v>92</v>
      </c>
      <c r="F4">
        <v>120</v>
      </c>
      <c r="G4">
        <f t="shared" si="3"/>
        <v>1.4771212547196624</v>
      </c>
      <c r="H4">
        <f t="shared" si="4"/>
        <v>1.6901960800285136</v>
      </c>
      <c r="I4">
        <f t="shared" si="5"/>
        <v>1.9637878273455553</v>
      </c>
      <c r="J4">
        <f t="shared" si="6"/>
        <v>2.0791812460476247</v>
      </c>
      <c r="K4">
        <f t="shared" si="7"/>
        <v>1.7478696965085179</v>
      </c>
      <c r="L4">
        <f t="shared" si="8"/>
        <v>2</v>
      </c>
      <c r="M4">
        <f t="shared" si="9"/>
        <v>2.3237396542919755</v>
      </c>
      <c r="N4">
        <f t="shared" si="10"/>
        <v>2.4602840707245623</v>
      </c>
      <c r="O4">
        <f t="shared" si="11"/>
        <v>2.0682448825452622</v>
      </c>
      <c r="P4">
        <f t="shared" si="12"/>
        <v>2.3665893249098766</v>
      </c>
      <c r="Q4">
        <f t="shared" si="13"/>
        <v>2.7496687298585782</v>
      </c>
      <c r="R4">
        <f t="shared" si="14"/>
        <v>2.9112410090112824</v>
      </c>
      <c r="S4">
        <f t="shared" si="15"/>
        <v>2.4473431301655495</v>
      </c>
      <c r="T4">
        <f t="shared" si="16"/>
        <v>2.800372516388693</v>
      </c>
      <c r="U4">
        <f t="shared" si="17"/>
        <v>3.2536683315609056</v>
      </c>
      <c r="V4">
        <f t="shared" si="18"/>
        <v>3.4448559470829796</v>
      </c>
      <c r="W4">
        <f t="shared" si="19"/>
        <v>3.4267362199441402</v>
      </c>
      <c r="X4">
        <f t="shared" si="20"/>
        <v>3.9210431152725702</v>
      </c>
      <c r="Y4">
        <f t="shared" si="21"/>
        <v>4.5557416865737066</v>
      </c>
      <c r="Z4">
        <f t="shared" si="22"/>
        <v>4.8234399585646592</v>
      </c>
    </row>
    <row r="5" spans="1:26" x14ac:dyDescent="0.25">
      <c r="A5">
        <v>8</v>
      </c>
      <c r="B5">
        <f t="shared" si="2"/>
        <v>0.90308998699194354</v>
      </c>
      <c r="C5">
        <v>49</v>
      </c>
      <c r="D5">
        <v>85</v>
      </c>
      <c r="E5">
        <v>271</v>
      </c>
      <c r="F5">
        <v>428</v>
      </c>
      <c r="G5">
        <f t="shared" si="3"/>
        <v>1.6901960800285136</v>
      </c>
      <c r="H5">
        <f t="shared" si="4"/>
        <v>1.9294189257142926</v>
      </c>
      <c r="I5">
        <f t="shared" si="5"/>
        <v>2.4329692908744058</v>
      </c>
      <c r="J5">
        <f t="shared" si="6"/>
        <v>2.6314437690131722</v>
      </c>
      <c r="K5">
        <f t="shared" si="7"/>
        <v>1.8715699480384027</v>
      </c>
      <c r="L5">
        <f t="shared" si="8"/>
        <v>2.1364636453792341</v>
      </c>
      <c r="M5">
        <f t="shared" si="9"/>
        <v>2.6940496804512906</v>
      </c>
      <c r="N5">
        <f t="shared" si="10"/>
        <v>2.9138223288003826</v>
      </c>
      <c r="O5">
        <f t="shared" si="11"/>
        <v>2.0724069306452173</v>
      </c>
      <c r="P5">
        <f t="shared" si="12"/>
        <v>2.3657262024302494</v>
      </c>
      <c r="Q5">
        <f t="shared" si="13"/>
        <v>2.9831464408378214</v>
      </c>
      <c r="R5">
        <f t="shared" si="14"/>
        <v>3.2265027525173711</v>
      </c>
      <c r="S5">
        <f t="shared" si="15"/>
        <v>2.2947956023165443</v>
      </c>
      <c r="T5">
        <f t="shared" si="16"/>
        <v>2.6195907788880781</v>
      </c>
      <c r="U5">
        <f t="shared" si="17"/>
        <v>3.3032659909941335</v>
      </c>
      <c r="V5">
        <f t="shared" si="18"/>
        <v>3.5727367139396211</v>
      </c>
      <c r="W5">
        <f t="shared" si="19"/>
        <v>2.8137269792832216</v>
      </c>
      <c r="X5">
        <f t="shared" si="20"/>
        <v>3.2119693979708974</v>
      </c>
      <c r="Y5">
        <f t="shared" si="21"/>
        <v>4.0502468408194368</v>
      </c>
      <c r="Z5">
        <f t="shared" si="22"/>
        <v>4.3806540642398017</v>
      </c>
    </row>
    <row r="6" spans="1:26" x14ac:dyDescent="0.25">
      <c r="A6">
        <v>9</v>
      </c>
      <c r="B6">
        <f t="shared" si="2"/>
        <v>0.95424250943932487</v>
      </c>
      <c r="C6">
        <v>177</v>
      </c>
      <c r="D6">
        <v>243</v>
      </c>
      <c r="E6">
        <v>615</v>
      </c>
      <c r="F6" s="1">
        <v>1244</v>
      </c>
      <c r="G6">
        <f t="shared" si="3"/>
        <v>2.2479732663618068</v>
      </c>
      <c r="H6">
        <f t="shared" si="4"/>
        <v>2.3856062735983121</v>
      </c>
      <c r="I6">
        <f t="shared" si="5"/>
        <v>2.7888751157754168</v>
      </c>
      <c r="J6">
        <f t="shared" si="6"/>
        <v>3.0948203803548</v>
      </c>
      <c r="K6">
        <f t="shared" si="7"/>
        <v>2.355767264741357</v>
      </c>
      <c r="L6">
        <f t="shared" si="8"/>
        <v>2.5</v>
      </c>
      <c r="M6">
        <f t="shared" si="9"/>
        <v>2.9226062433689415</v>
      </c>
      <c r="N6">
        <f t="shared" si="10"/>
        <v>3.2432220842615722</v>
      </c>
      <c r="O6">
        <f t="shared" si="11"/>
        <v>2.4687301618175788</v>
      </c>
      <c r="P6">
        <f t="shared" si="12"/>
        <v>2.6198790928617308</v>
      </c>
      <c r="Q6">
        <f t="shared" si="13"/>
        <v>3.0627499974677814</v>
      </c>
      <c r="R6">
        <f t="shared" si="14"/>
        <v>3.3987398928257355</v>
      </c>
      <c r="S6">
        <f t="shared" si="15"/>
        <v>2.587109814745213</v>
      </c>
      <c r="T6">
        <f t="shared" si="16"/>
        <v>2.7455065844856024</v>
      </c>
      <c r="U6">
        <f t="shared" si="17"/>
        <v>3.2096138740112634</v>
      </c>
      <c r="V6">
        <f t="shared" si="18"/>
        <v>3.5617150349157058</v>
      </c>
      <c r="W6">
        <f t="shared" si="19"/>
        <v>2.8411708124681234</v>
      </c>
      <c r="X6">
        <f t="shared" si="20"/>
        <v>3.0151225621815185</v>
      </c>
      <c r="Y6">
        <f t="shared" si="21"/>
        <v>3.5248064099017067</v>
      </c>
      <c r="Z6">
        <f t="shared" si="22"/>
        <v>3.9114848321689748</v>
      </c>
    </row>
    <row r="7" spans="1:26" x14ac:dyDescent="0.25">
      <c r="A7">
        <v>10</v>
      </c>
      <c r="B7">
        <f t="shared" si="2"/>
        <v>1</v>
      </c>
      <c r="C7">
        <v>183</v>
      </c>
      <c r="D7">
        <v>246</v>
      </c>
      <c r="E7">
        <v>690</v>
      </c>
      <c r="F7" s="1">
        <v>1038</v>
      </c>
      <c r="G7">
        <f t="shared" si="3"/>
        <v>2.2624510897304293</v>
      </c>
      <c r="H7">
        <f t="shared" si="4"/>
        <v>2.3909351071033793</v>
      </c>
      <c r="I7">
        <f t="shared" si="5"/>
        <v>2.8388490907372552</v>
      </c>
      <c r="J7">
        <f t="shared" si="6"/>
        <v>3.0161973535124389</v>
      </c>
      <c r="K7">
        <f t="shared" si="7"/>
        <v>2.2624510897304293</v>
      </c>
      <c r="L7">
        <f t="shared" si="8"/>
        <v>2.3909351071033793</v>
      </c>
      <c r="M7">
        <f t="shared" si="9"/>
        <v>2.8388490907372552</v>
      </c>
      <c r="N7">
        <f t="shared" si="10"/>
        <v>3.0161973535124389</v>
      </c>
      <c r="O7">
        <f t="shared" si="11"/>
        <v>2.2624510897304293</v>
      </c>
      <c r="P7">
        <f t="shared" si="12"/>
        <v>2.3909351071033793</v>
      </c>
      <c r="Q7">
        <f t="shared" si="13"/>
        <v>2.8388490907372552</v>
      </c>
      <c r="R7">
        <f t="shared" si="14"/>
        <v>3.0161973535124389</v>
      </c>
      <c r="S7">
        <f t="shared" si="15"/>
        <v>2.2624510897304293</v>
      </c>
      <c r="T7">
        <f t="shared" si="16"/>
        <v>2.3909351071033793</v>
      </c>
      <c r="U7">
        <f t="shared" si="17"/>
        <v>2.8388490907372552</v>
      </c>
      <c r="V7">
        <f t="shared" si="18"/>
        <v>3.0161973535124389</v>
      </c>
      <c r="W7">
        <f t="shared" si="19"/>
        <v>2.2624510897304293</v>
      </c>
      <c r="X7">
        <f t="shared" si="20"/>
        <v>2.3909351071033793</v>
      </c>
      <c r="Y7">
        <f t="shared" si="21"/>
        <v>2.8388490907372552</v>
      </c>
      <c r="Z7">
        <f t="shared" si="22"/>
        <v>3.0161973535124389</v>
      </c>
    </row>
    <row r="8" spans="1:26" x14ac:dyDescent="0.25">
      <c r="A8">
        <v>11</v>
      </c>
      <c r="B8">
        <f t="shared" si="2"/>
        <v>1.0413926851582251</v>
      </c>
      <c r="C8">
        <v>222</v>
      </c>
      <c r="D8">
        <v>323</v>
      </c>
      <c r="E8">
        <v>810</v>
      </c>
      <c r="F8" s="1">
        <v>1775</v>
      </c>
      <c r="G8">
        <f t="shared" si="3"/>
        <v>2.3463529744506388</v>
      </c>
      <c r="H8">
        <f t="shared" si="4"/>
        <v>2.509202522331103</v>
      </c>
      <c r="I8">
        <f t="shared" si="5"/>
        <v>2.90848501887865</v>
      </c>
      <c r="J8">
        <f t="shared" si="6"/>
        <v>3.249198357391113</v>
      </c>
      <c r="K8">
        <f t="shared" si="7"/>
        <v>2.2530914686558829</v>
      </c>
      <c r="L8">
        <f t="shared" si="8"/>
        <v>2.4094681651713969</v>
      </c>
      <c r="M8">
        <f t="shared" si="9"/>
        <v>2.7928802077544321</v>
      </c>
      <c r="N8">
        <f t="shared" si="10"/>
        <v>3.120051065941031</v>
      </c>
      <c r="O8">
        <f t="shared" si="11"/>
        <v>2.1635368682405876</v>
      </c>
      <c r="P8">
        <f t="shared" si="12"/>
        <v>2.3136979926119912</v>
      </c>
      <c r="Q8">
        <f t="shared" si="13"/>
        <v>2.6818703910236255</v>
      </c>
      <c r="R8">
        <f t="shared" si="14"/>
        <v>2.9960370477030791</v>
      </c>
      <c r="S8">
        <f t="shared" si="15"/>
        <v>2.0775418332344717</v>
      </c>
      <c r="T8">
        <f t="shared" si="16"/>
        <v>2.2217344384942144</v>
      </c>
      <c r="U8">
        <f t="shared" si="17"/>
        <v>2.5752729294580674</v>
      </c>
      <c r="V8">
        <f t="shared" si="18"/>
        <v>2.8769522682482385</v>
      </c>
      <c r="W8">
        <f t="shared" si="19"/>
        <v>1.9156701487197647</v>
      </c>
      <c r="X8">
        <f t="shared" si="20"/>
        <v>2.0486279862676966</v>
      </c>
      <c r="Y8">
        <f t="shared" si="21"/>
        <v>2.3746205235676423</v>
      </c>
      <c r="Z8">
        <f t="shared" si="22"/>
        <v>2.6527945148494934</v>
      </c>
    </row>
    <row r="9" spans="1:26" x14ac:dyDescent="0.25">
      <c r="A9">
        <v>12</v>
      </c>
      <c r="B9">
        <f t="shared" si="2"/>
        <v>1.0791812460476249</v>
      </c>
      <c r="C9">
        <v>671</v>
      </c>
      <c r="D9">
        <v>889</v>
      </c>
      <c r="E9">
        <v>801</v>
      </c>
      <c r="F9" s="1">
        <v>1259</v>
      </c>
      <c r="G9">
        <f t="shared" si="3"/>
        <v>2.8267225201689921</v>
      </c>
      <c r="H9">
        <f t="shared" si="4"/>
        <v>2.9489017609702137</v>
      </c>
      <c r="I9">
        <f t="shared" si="5"/>
        <v>2.9036325160842376</v>
      </c>
      <c r="J9">
        <f t="shared" si="6"/>
        <v>3.1000257301078626</v>
      </c>
      <c r="K9">
        <f t="shared" si="7"/>
        <v>2.6193213888042743</v>
      </c>
      <c r="L9">
        <f t="shared" si="8"/>
        <v>2.7325361442021174</v>
      </c>
      <c r="M9">
        <f t="shared" si="9"/>
        <v>2.6905883758807447</v>
      </c>
      <c r="N9">
        <f t="shared" si="10"/>
        <v>2.87257190713918</v>
      </c>
      <c r="O9">
        <f t="shared" si="11"/>
        <v>2.4271376086243461</v>
      </c>
      <c r="P9">
        <f t="shared" si="12"/>
        <v>2.5320456171840564</v>
      </c>
      <c r="Q9">
        <f t="shared" si="13"/>
        <v>2.4931756234040483</v>
      </c>
      <c r="R9">
        <f t="shared" si="14"/>
        <v>2.6618067332615709</v>
      </c>
      <c r="S9">
        <f t="shared" si="15"/>
        <v>2.2490546583471995</v>
      </c>
      <c r="T9">
        <f t="shared" si="16"/>
        <v>2.3462653993083902</v>
      </c>
      <c r="U9">
        <f t="shared" si="17"/>
        <v>2.3102473588519188</v>
      </c>
      <c r="V9">
        <f t="shared" si="18"/>
        <v>2.4665057357233802</v>
      </c>
      <c r="W9">
        <f t="shared" si="19"/>
        <v>1.9311287564227995</v>
      </c>
      <c r="X9">
        <f t="shared" si="20"/>
        <v>2.0145978071222075</v>
      </c>
      <c r="Y9">
        <f t="shared" si="21"/>
        <v>1.9836712694245395</v>
      </c>
      <c r="Z9">
        <f t="shared" si="22"/>
        <v>2.1178409944192116</v>
      </c>
    </row>
    <row r="10" spans="1:26" x14ac:dyDescent="0.25">
      <c r="A10">
        <v>13</v>
      </c>
      <c r="B10">
        <f t="shared" si="2"/>
        <v>1.1139433523068367</v>
      </c>
      <c r="C10" s="1">
        <v>1034</v>
      </c>
      <c r="D10" s="1">
        <v>1355</v>
      </c>
      <c r="E10" s="1">
        <v>19178</v>
      </c>
      <c r="F10" s="1">
        <v>48083</v>
      </c>
      <c r="G10">
        <f t="shared" si="3"/>
        <v>3.0145205387579237</v>
      </c>
      <c r="H10">
        <f t="shared" si="4"/>
        <v>3.1319392952104246</v>
      </c>
      <c r="I10">
        <f t="shared" si="5"/>
        <v>4.2828033142917281</v>
      </c>
      <c r="J10">
        <f t="shared" si="6"/>
        <v>4.6819915563906909</v>
      </c>
      <c r="K10">
        <f t="shared" si="7"/>
        <v>2.7061704102953086</v>
      </c>
      <c r="L10">
        <f t="shared" si="8"/>
        <v>2.8115786038173054</v>
      </c>
      <c r="M10">
        <f t="shared" si="9"/>
        <v>3.8447227189987538</v>
      </c>
      <c r="N10">
        <f t="shared" si="10"/>
        <v>4.2030786814202665</v>
      </c>
      <c r="O10">
        <f t="shared" si="11"/>
        <v>2.4293608868809797</v>
      </c>
      <c r="P10">
        <f t="shared" si="12"/>
        <v>2.5239870573264604</v>
      </c>
      <c r="Q10">
        <f t="shared" si="13"/>
        <v>3.4514526353937263</v>
      </c>
      <c r="R10">
        <f t="shared" si="14"/>
        <v>3.7731529818964482</v>
      </c>
      <c r="S10">
        <f t="shared" si="15"/>
        <v>2.1808657341956201</v>
      </c>
      <c r="T10">
        <f t="shared" si="16"/>
        <v>2.2658127561869281</v>
      </c>
      <c r="U10">
        <f t="shared" si="17"/>
        <v>3.0984094731982572</v>
      </c>
      <c r="V10">
        <f t="shared" si="18"/>
        <v>3.3872036437784043</v>
      </c>
      <c r="W10">
        <f t="shared" si="19"/>
        <v>1.7575298778281991</v>
      </c>
      <c r="X10">
        <f t="shared" si="20"/>
        <v>1.8259875214333519</v>
      </c>
      <c r="Y10">
        <f t="shared" si="21"/>
        <v>2.4969658321952481</v>
      </c>
      <c r="Z10">
        <f t="shared" si="22"/>
        <v>2.729701105797238</v>
      </c>
    </row>
    <row r="11" spans="1:26" x14ac:dyDescent="0.25">
      <c r="A11">
        <v>14</v>
      </c>
      <c r="B11">
        <f t="shared" si="2"/>
        <v>1.146128035678238</v>
      </c>
      <c r="C11" s="1">
        <v>3078</v>
      </c>
      <c r="D11" s="1">
        <v>4119</v>
      </c>
      <c r="E11" s="1">
        <v>10426</v>
      </c>
      <c r="F11" s="1">
        <v>21194</v>
      </c>
      <c r="G11">
        <f t="shared" si="3"/>
        <v>3.4882686154954601</v>
      </c>
      <c r="H11">
        <f t="shared" si="4"/>
        <v>3.6147917919564176</v>
      </c>
      <c r="I11">
        <f t="shared" si="5"/>
        <v>4.0181177205910004</v>
      </c>
      <c r="J11">
        <f t="shared" si="6"/>
        <v>4.3262129299994303</v>
      </c>
      <c r="K11">
        <f t="shared" si="7"/>
        <v>3.0435243767780502</v>
      </c>
      <c r="L11">
        <f t="shared" si="8"/>
        <v>3.1539162113047099</v>
      </c>
      <c r="M11">
        <f t="shared" si="9"/>
        <v>3.5058192414019613</v>
      </c>
      <c r="N11">
        <f t="shared" si="10"/>
        <v>3.7746331957051646</v>
      </c>
      <c r="O11">
        <f t="shared" si="11"/>
        <v>2.6554837522816555</v>
      </c>
      <c r="P11">
        <f t="shared" si="12"/>
        <v>2.7518009446809617</v>
      </c>
      <c r="Q11">
        <f t="shared" si="13"/>
        <v>3.0588373482438564</v>
      </c>
      <c r="R11">
        <f t="shared" si="14"/>
        <v>3.2933782947482571</v>
      </c>
      <c r="S11">
        <f t="shared" si="15"/>
        <v>2.3169171939069044</v>
      </c>
      <c r="T11">
        <f t="shared" si="16"/>
        <v>2.400954220662217</v>
      </c>
      <c r="U11">
        <f t="shared" si="17"/>
        <v>2.6688443638268957</v>
      </c>
      <c r="V11">
        <f t="shared" si="18"/>
        <v>2.8734820126787599</v>
      </c>
      <c r="W11">
        <f t="shared" si="19"/>
        <v>1.763779296259244</v>
      </c>
      <c r="X11">
        <f t="shared" si="20"/>
        <v>1.8277534289127568</v>
      </c>
      <c r="Y11">
        <f t="shared" si="21"/>
        <v>2.0316878161357339</v>
      </c>
      <c r="Z11">
        <f t="shared" si="22"/>
        <v>2.1874705300062542</v>
      </c>
    </row>
    <row r="12" spans="1:26" x14ac:dyDescent="0.25">
      <c r="A12">
        <v>15</v>
      </c>
      <c r="B12">
        <f t="shared" si="2"/>
        <v>1.1760912590556813</v>
      </c>
      <c r="C12" s="1">
        <v>4908</v>
      </c>
      <c r="D12" s="1">
        <v>6341</v>
      </c>
      <c r="E12" s="1">
        <v>5954</v>
      </c>
      <c r="F12" s="1">
        <v>13196</v>
      </c>
      <c r="G12">
        <f t="shared" si="3"/>
        <v>3.6909045540549665</v>
      </c>
      <c r="H12">
        <f t="shared" si="4"/>
        <v>3.8021577531869615</v>
      </c>
      <c r="I12">
        <f t="shared" si="5"/>
        <v>3.7748088303107061</v>
      </c>
      <c r="J12">
        <f t="shared" si="6"/>
        <v>4.120442306873306</v>
      </c>
      <c r="K12">
        <f t="shared" si="7"/>
        <v>3.1382807461884408</v>
      </c>
      <c r="L12">
        <f t="shared" si="8"/>
        <v>3.2328764659298863</v>
      </c>
      <c r="M12">
        <f t="shared" si="9"/>
        <v>3.2096223836759168</v>
      </c>
      <c r="N12">
        <f t="shared" si="10"/>
        <v>3.5035055954601106</v>
      </c>
      <c r="O12">
        <f t="shared" si="11"/>
        <v>2.6683990056250053</v>
      </c>
      <c r="P12">
        <f t="shared" si="12"/>
        <v>2.7488313011744165</v>
      </c>
      <c r="Q12">
        <f t="shared" si="13"/>
        <v>2.7290589560652108</v>
      </c>
      <c r="R12">
        <f t="shared" si="14"/>
        <v>2.9789402552597659</v>
      </c>
      <c r="S12">
        <f t="shared" si="15"/>
        <v>2.2688707063153775</v>
      </c>
      <c r="T12">
        <f t="shared" si="16"/>
        <v>2.3372602083460214</v>
      </c>
      <c r="U12">
        <f t="shared" si="17"/>
        <v>2.3204482943410811</v>
      </c>
      <c r="V12">
        <f t="shared" si="18"/>
        <v>2.5329159045460852</v>
      </c>
      <c r="W12">
        <f t="shared" si="19"/>
        <v>1.6403166887564806</v>
      </c>
      <c r="X12">
        <f t="shared" si="20"/>
        <v>1.6897599828165419</v>
      </c>
      <c r="Y12">
        <f t="shared" si="21"/>
        <v>1.6776055383012674</v>
      </c>
      <c r="Z12">
        <f t="shared" si="22"/>
        <v>1.8312124255819704</v>
      </c>
    </row>
    <row r="13" spans="1:26" x14ac:dyDescent="0.25">
      <c r="A13">
        <v>16</v>
      </c>
      <c r="B13">
        <f t="shared" si="2"/>
        <v>1.2041199826559248</v>
      </c>
      <c r="C13" s="1">
        <v>8978</v>
      </c>
      <c r="D13" s="1">
        <v>9997</v>
      </c>
      <c r="E13" s="1">
        <v>33728</v>
      </c>
      <c r="F13" s="1">
        <v>62219</v>
      </c>
      <c r="G13">
        <f t="shared" si="3"/>
        <v>3.9531796010656342</v>
      </c>
      <c r="H13">
        <f t="shared" si="4"/>
        <v>3.9998696921082679</v>
      </c>
      <c r="I13">
        <f t="shared" si="5"/>
        <v>4.5279905891964338</v>
      </c>
      <c r="J13">
        <f t="shared" si="6"/>
        <v>4.7939230267345625</v>
      </c>
      <c r="K13">
        <f t="shared" si="7"/>
        <v>3.2830445952288865</v>
      </c>
      <c r="L13">
        <f t="shared" si="8"/>
        <v>3.3218198765257299</v>
      </c>
      <c r="M13">
        <f t="shared" si="9"/>
        <v>3.7604147879093035</v>
      </c>
      <c r="N13">
        <f t="shared" si="10"/>
        <v>3.9812668968092506</v>
      </c>
      <c r="O13">
        <f t="shared" si="11"/>
        <v>2.7265095194147362</v>
      </c>
      <c r="P13">
        <f t="shared" si="12"/>
        <v>2.7587116934965223</v>
      </c>
      <c r="Q13">
        <f t="shared" si="13"/>
        <v>3.122956883096454</v>
      </c>
      <c r="R13">
        <f t="shared" si="14"/>
        <v>3.3063705894389184</v>
      </c>
      <c r="S13">
        <f t="shared" si="15"/>
        <v>2.2643171433804135</v>
      </c>
      <c r="T13">
        <f t="shared" si="16"/>
        <v>2.2910604700800983</v>
      </c>
      <c r="U13">
        <f t="shared" si="17"/>
        <v>2.593559552269995</v>
      </c>
      <c r="V13">
        <f t="shared" si="18"/>
        <v>2.7458813382916083</v>
      </c>
      <c r="W13">
        <f t="shared" si="19"/>
        <v>1.5617004207793843</v>
      </c>
      <c r="X13">
        <f t="shared" si="20"/>
        <v>1.5801453036801898</v>
      </c>
      <c r="Y13">
        <f t="shared" si="21"/>
        <v>1.788779039163052</v>
      </c>
      <c r="Z13">
        <f t="shared" si="22"/>
        <v>1.8938354346504291</v>
      </c>
    </row>
    <row r="14" spans="1:26" x14ac:dyDescent="0.25">
      <c r="A14">
        <v>17</v>
      </c>
      <c r="B14">
        <f t="shared" si="2"/>
        <v>1.2304489213782739</v>
      </c>
      <c r="C14" s="1">
        <v>12442</v>
      </c>
      <c r="D14" s="1">
        <v>13087</v>
      </c>
      <c r="E14" s="1">
        <v>70052</v>
      </c>
      <c r="F14" s="1">
        <v>163783</v>
      </c>
      <c r="G14">
        <f t="shared" si="3"/>
        <v>4.0948901970066505</v>
      </c>
      <c r="H14">
        <f t="shared" si="4"/>
        <v>4.116840102412664</v>
      </c>
      <c r="I14">
        <f t="shared" si="5"/>
        <v>4.8454205390017293</v>
      </c>
      <c r="J14">
        <f t="shared" si="6"/>
        <v>5.2142688217873916</v>
      </c>
      <c r="K14">
        <f t="shared" si="7"/>
        <v>3.3279643923941222</v>
      </c>
      <c r="L14">
        <f t="shared" si="8"/>
        <v>3.3458033331454593</v>
      </c>
      <c r="M14">
        <f t="shared" si="9"/>
        <v>3.9379290394063529</v>
      </c>
      <c r="N14">
        <f t="shared" si="10"/>
        <v>4.2376962840088357</v>
      </c>
      <c r="O14">
        <f t="shared" si="11"/>
        <v>2.7046749642125247</v>
      </c>
      <c r="P14">
        <f t="shared" si="12"/>
        <v>2.7191728766747136</v>
      </c>
      <c r="Q14">
        <f t="shared" si="13"/>
        <v>3.2004002531005717</v>
      </c>
      <c r="R14">
        <f t="shared" si="14"/>
        <v>3.4440245428977474</v>
      </c>
      <c r="S14">
        <f t="shared" si="15"/>
        <v>2.1981204723093359</v>
      </c>
      <c r="T14">
        <f t="shared" si="16"/>
        <v>2.2099030926280641</v>
      </c>
      <c r="U14">
        <f t="shared" si="17"/>
        <v>2.6010021200357332</v>
      </c>
      <c r="V14">
        <f t="shared" si="18"/>
        <v>2.7989983842969774</v>
      </c>
      <c r="W14">
        <f t="shared" si="19"/>
        <v>1.4518585661036751</v>
      </c>
      <c r="X14">
        <f t="shared" si="20"/>
        <v>1.4596409867928017</v>
      </c>
      <c r="Y14">
        <f t="shared" si="21"/>
        <v>1.7179618933535281</v>
      </c>
      <c r="Z14">
        <f t="shared" si="22"/>
        <v>1.8487384253705414</v>
      </c>
    </row>
    <row r="15" spans="1:26" x14ac:dyDescent="0.25">
      <c r="A15">
        <v>18</v>
      </c>
      <c r="B15">
        <f t="shared" si="2"/>
        <v>1.255272505103306</v>
      </c>
      <c r="C15" s="1">
        <v>20510</v>
      </c>
      <c r="D15" s="1">
        <v>29625</v>
      </c>
      <c r="E15" s="1">
        <v>15700</v>
      </c>
      <c r="F15" s="1">
        <v>41861</v>
      </c>
      <c r="G15">
        <f t="shared" si="3"/>
        <v>4.311965660368366</v>
      </c>
      <c r="H15">
        <f t="shared" si="4"/>
        <v>4.4716583590181607</v>
      </c>
      <c r="I15">
        <f t="shared" si="5"/>
        <v>4.195899652409234</v>
      </c>
      <c r="J15">
        <f t="shared" si="6"/>
        <v>4.6218095988066459</v>
      </c>
      <c r="K15">
        <f t="shared" si="7"/>
        <v>3.4350833327728321</v>
      </c>
      <c r="L15">
        <f t="shared" si="8"/>
        <v>3.562300887527329</v>
      </c>
      <c r="M15">
        <f t="shared" si="9"/>
        <v>3.3426205348645959</v>
      </c>
      <c r="N15">
        <f t="shared" si="10"/>
        <v>3.6819173366872096</v>
      </c>
      <c r="O15">
        <f t="shared" si="11"/>
        <v>2.7365239968273922</v>
      </c>
      <c r="P15">
        <f t="shared" si="12"/>
        <v>2.837870560412028</v>
      </c>
      <c r="Q15">
        <f t="shared" si="13"/>
        <v>2.6628644547500113</v>
      </c>
      <c r="R15">
        <f t="shared" si="14"/>
        <v>2.9331617809825254</v>
      </c>
      <c r="S15">
        <f t="shared" si="15"/>
        <v>2.1800238479709093</v>
      </c>
      <c r="T15">
        <f t="shared" si="16"/>
        <v>2.26076055109522</v>
      </c>
      <c r="U15">
        <f t="shared" si="17"/>
        <v>2.121343727297575</v>
      </c>
      <c r="V15">
        <f t="shared" si="18"/>
        <v>2.3366733271522846</v>
      </c>
      <c r="W15">
        <f t="shared" si="19"/>
        <v>1.383519267896661</v>
      </c>
      <c r="X15">
        <f t="shared" si="20"/>
        <v>1.4347575993043213</v>
      </c>
      <c r="Y15">
        <f t="shared" si="21"/>
        <v>1.3462788140045516</v>
      </c>
      <c r="Z15">
        <f t="shared" si="22"/>
        <v>1.4829344981268864</v>
      </c>
    </row>
    <row r="16" spans="1:26" x14ac:dyDescent="0.25">
      <c r="A16">
        <v>19</v>
      </c>
      <c r="B16">
        <f t="shared" si="2"/>
        <v>1.2787536009528289</v>
      </c>
      <c r="C16" s="1">
        <v>35094</v>
      </c>
      <c r="D16" s="1">
        <v>47382</v>
      </c>
      <c r="E16" s="1">
        <v>7753</v>
      </c>
      <c r="F16" s="1">
        <v>16758</v>
      </c>
      <c r="G16">
        <f t="shared" si="3"/>
        <v>4.5452328717469657</v>
      </c>
      <c r="H16">
        <f t="shared" si="4"/>
        <v>4.675613388396707</v>
      </c>
      <c r="I16">
        <f t="shared" si="5"/>
        <v>3.8894697839695076</v>
      </c>
      <c r="J16">
        <f t="shared" si="6"/>
        <v>4.2242221860846483</v>
      </c>
      <c r="K16">
        <f t="shared" si="7"/>
        <v>3.5544242990676294</v>
      </c>
      <c r="L16">
        <f t="shared" si="8"/>
        <v>3.6563833602601781</v>
      </c>
      <c r="M16">
        <f t="shared" si="9"/>
        <v>3.0416100342328449</v>
      </c>
      <c r="N16">
        <f t="shared" si="10"/>
        <v>3.3033902566820399</v>
      </c>
      <c r="O16">
        <f t="shared" si="11"/>
        <v>2.7796006176789221</v>
      </c>
      <c r="P16">
        <f t="shared" si="12"/>
        <v>2.8593337743375438</v>
      </c>
      <c r="Q16">
        <f t="shared" si="13"/>
        <v>2.3785739738808718</v>
      </c>
      <c r="R16">
        <f t="shared" si="14"/>
        <v>2.5832891138844944</v>
      </c>
      <c r="S16">
        <f t="shared" si="15"/>
        <v>2.1736796014554938</v>
      </c>
      <c r="T16">
        <f t="shared" si="16"/>
        <v>2.2360318455463104</v>
      </c>
      <c r="U16">
        <f t="shared" si="17"/>
        <v>1.8600721609765489</v>
      </c>
      <c r="V16">
        <f t="shared" si="18"/>
        <v>2.020161751223712</v>
      </c>
      <c r="W16">
        <f t="shared" si="19"/>
        <v>1.3292962832330149</v>
      </c>
      <c r="X16">
        <f t="shared" si="20"/>
        <v>1.3674272967759773</v>
      </c>
      <c r="Y16">
        <f t="shared" si="21"/>
        <v>1.1375121745061632</v>
      </c>
      <c r="Z16">
        <f t="shared" si="22"/>
        <v>1.23541367625341</v>
      </c>
    </row>
    <row r="17" spans="1:26" x14ac:dyDescent="0.25">
      <c r="A17">
        <v>20</v>
      </c>
      <c r="B17">
        <f t="shared" si="2"/>
        <v>1.3010299956639813</v>
      </c>
      <c r="C17" s="1">
        <v>110166</v>
      </c>
      <c r="D17" s="1">
        <v>155209</v>
      </c>
      <c r="E17" s="1">
        <v>40270</v>
      </c>
      <c r="F17" s="1">
        <v>75003</v>
      </c>
      <c r="G17">
        <f t="shared" si="3"/>
        <v>5.0420475809882541</v>
      </c>
      <c r="H17">
        <f t="shared" si="4"/>
        <v>5.1909169007946616</v>
      </c>
      <c r="I17">
        <f t="shared" si="5"/>
        <v>4.6049816296074315</v>
      </c>
      <c r="J17">
        <f t="shared" si="6"/>
        <v>4.8750786348235495</v>
      </c>
      <c r="K17">
        <f t="shared" si="7"/>
        <v>3.8754276210327054</v>
      </c>
      <c r="L17">
        <f t="shared" si="8"/>
        <v>3.9898518236279976</v>
      </c>
      <c r="M17">
        <f t="shared" si="9"/>
        <v>3.5394892085153478</v>
      </c>
      <c r="N17">
        <f t="shared" si="10"/>
        <v>3.7470916512847583</v>
      </c>
      <c r="O17">
        <f t="shared" si="11"/>
        <v>2.9787381028481819</v>
      </c>
      <c r="P17">
        <f t="shared" si="12"/>
        <v>3.0666870379047446</v>
      </c>
      <c r="Q17">
        <f t="shared" si="13"/>
        <v>2.7205285199508165</v>
      </c>
      <c r="R17">
        <f t="shared" si="14"/>
        <v>2.8800962804646395</v>
      </c>
      <c r="S17">
        <f t="shared" si="15"/>
        <v>2.2895230031402787</v>
      </c>
      <c r="T17">
        <f t="shared" si="16"/>
        <v>2.3571224707541503</v>
      </c>
      <c r="U17">
        <f t="shared" si="17"/>
        <v>2.091057492154432</v>
      </c>
      <c r="V17">
        <f t="shared" si="18"/>
        <v>2.2137047493626625</v>
      </c>
      <c r="W17">
        <f t="shared" si="19"/>
        <v>1.3526031433175465</v>
      </c>
      <c r="X17">
        <f t="shared" si="20"/>
        <v>1.3925395196962527</v>
      </c>
      <c r="Y17">
        <f t="shared" si="21"/>
        <v>1.235353797654112</v>
      </c>
      <c r="Z17">
        <f t="shared" si="22"/>
        <v>1.3078112769594483</v>
      </c>
    </row>
    <row r="18" spans="1:26" x14ac:dyDescent="0.25">
      <c r="A18">
        <v>21</v>
      </c>
      <c r="B18">
        <f t="shared" si="2"/>
        <v>1.3222192947339193</v>
      </c>
      <c r="C18" s="1">
        <v>111119</v>
      </c>
      <c r="D18" s="1">
        <v>160288</v>
      </c>
      <c r="E18" s="1">
        <v>3013180</v>
      </c>
      <c r="F18" s="1">
        <v>8815597</v>
      </c>
      <c r="G18">
        <f t="shared" si="3"/>
        <v>5.0457883243743025</v>
      </c>
      <c r="H18">
        <f t="shared" si="4"/>
        <v>5.2049010100094204</v>
      </c>
      <c r="I18">
        <f t="shared" si="5"/>
        <v>6.4790250761379315</v>
      </c>
      <c r="J18">
        <f t="shared" si="6"/>
        <v>6.9452517284364044</v>
      </c>
      <c r="K18">
        <f t="shared" si="7"/>
        <v>3.8161508794119561</v>
      </c>
      <c r="L18">
        <f t="shared" si="8"/>
        <v>3.936488471117678</v>
      </c>
      <c r="M18">
        <f t="shared" si="9"/>
        <v>4.9001138479390871</v>
      </c>
      <c r="N18">
        <f t="shared" si="10"/>
        <v>5.2527230211339884</v>
      </c>
      <c r="O18">
        <f t="shared" si="11"/>
        <v>2.8861709208228659</v>
      </c>
      <c r="P18">
        <f t="shared" si="12"/>
        <v>2.9771827463082428</v>
      </c>
      <c r="Q18">
        <f t="shared" si="13"/>
        <v>3.7059766617043479</v>
      </c>
      <c r="R18">
        <f t="shared" si="14"/>
        <v>3.972656458769221</v>
      </c>
      <c r="S18">
        <f t="shared" si="15"/>
        <v>2.1828231763957682</v>
      </c>
      <c r="T18">
        <f t="shared" si="16"/>
        <v>2.2516558018519652</v>
      </c>
      <c r="U18">
        <f t="shared" si="17"/>
        <v>2.8028456977328644</v>
      </c>
      <c r="V18">
        <f t="shared" si="18"/>
        <v>3.0045367471124904</v>
      </c>
      <c r="W18">
        <f t="shared" si="19"/>
        <v>1.2485662045271968</v>
      </c>
      <c r="X18">
        <f t="shared" si="20"/>
        <v>1.2879381934463321</v>
      </c>
      <c r="Y18">
        <f t="shared" si="21"/>
        <v>1.6032166290592853</v>
      </c>
      <c r="Z18">
        <f t="shared" si="22"/>
        <v>1.7185831098325171</v>
      </c>
    </row>
    <row r="19" spans="1:26" x14ac:dyDescent="0.25">
      <c r="A19">
        <v>22</v>
      </c>
      <c r="B19">
        <f t="shared" si="2"/>
        <v>1.3424226808222062</v>
      </c>
      <c r="C19" s="1">
        <v>294509</v>
      </c>
      <c r="D19" s="1">
        <v>388642</v>
      </c>
      <c r="E19" s="1">
        <v>310217</v>
      </c>
      <c r="F19" s="1">
        <v>517874</v>
      </c>
      <c r="G19">
        <f t="shared" si="3"/>
        <v>5.4690985710776658</v>
      </c>
      <c r="H19">
        <f t="shared" si="4"/>
        <v>5.5895497324001475</v>
      </c>
      <c r="I19">
        <f t="shared" si="5"/>
        <v>5.4916655936190848</v>
      </c>
      <c r="J19">
        <f t="shared" si="6"/>
        <v>5.7142241076968379</v>
      </c>
      <c r="K19">
        <f t="shared" si="7"/>
        <v>4.0740510788509292</v>
      </c>
      <c r="L19">
        <f t="shared" si="8"/>
        <v>4.1637777819551323</v>
      </c>
      <c r="M19">
        <f t="shared" si="9"/>
        <v>4.0908617472520303</v>
      </c>
      <c r="N19">
        <f t="shared" si="10"/>
        <v>4.256650449467223</v>
      </c>
      <c r="O19">
        <f t="shared" si="11"/>
        <v>3.0348497064692452</v>
      </c>
      <c r="P19">
        <f t="shared" si="12"/>
        <v>3.1016890890169586</v>
      </c>
      <c r="Q19">
        <f t="shared" si="13"/>
        <v>3.047372340838626</v>
      </c>
      <c r="R19">
        <f t="shared" si="14"/>
        <v>3.1708719692221767</v>
      </c>
      <c r="S19">
        <f t="shared" si="15"/>
        <v>2.2607258874756662</v>
      </c>
      <c r="T19">
        <f t="shared" si="16"/>
        <v>2.3105160046292115</v>
      </c>
      <c r="U19">
        <f t="shared" si="17"/>
        <v>2.2700542715593675</v>
      </c>
      <c r="V19">
        <f t="shared" si="18"/>
        <v>2.3620518444161593</v>
      </c>
      <c r="W19">
        <f t="shared" si="19"/>
        <v>1.2544961855863976</v>
      </c>
      <c r="X19">
        <f t="shared" si="20"/>
        <v>1.2821251486531084</v>
      </c>
      <c r="Y19">
        <f t="shared" si="21"/>
        <v>1.2596725859255624</v>
      </c>
      <c r="Z19">
        <f t="shared" si="22"/>
        <v>1.310722828182451</v>
      </c>
    </row>
    <row r="20" spans="1:26" x14ac:dyDescent="0.25">
      <c r="A20">
        <v>23</v>
      </c>
      <c r="B20">
        <f t="shared" si="2"/>
        <v>1.3617278360175928</v>
      </c>
      <c r="C20" s="1">
        <v>361248</v>
      </c>
      <c r="D20" s="1">
        <v>677793</v>
      </c>
      <c r="E20" s="1">
        <v>819868</v>
      </c>
      <c r="F20" s="1">
        <v>2192916</v>
      </c>
      <c r="G20">
        <f t="shared" si="3"/>
        <v>5.5578054513594326</v>
      </c>
      <c r="H20">
        <f t="shared" si="4"/>
        <v>5.8310970792888019</v>
      </c>
      <c r="I20">
        <f t="shared" si="5"/>
        <v>5.9137439359371067</v>
      </c>
      <c r="J20">
        <f t="shared" si="6"/>
        <v>6.3410219962761678</v>
      </c>
      <c r="K20">
        <f t="shared" si="7"/>
        <v>4.0814363225572103</v>
      </c>
      <c r="L20">
        <f t="shared" si="8"/>
        <v>4.2821310727861679</v>
      </c>
      <c r="M20">
        <f t="shared" si="9"/>
        <v>4.3428237122860018</v>
      </c>
      <c r="N20">
        <f t="shared" si="10"/>
        <v>4.656600113882261</v>
      </c>
      <c r="O20">
        <f t="shared" si="11"/>
        <v>2.9972482126042701</v>
      </c>
      <c r="P20">
        <f t="shared" si="12"/>
        <v>3.1446306372860584</v>
      </c>
      <c r="Q20">
        <f t="shared" si="13"/>
        <v>3.1892009529501131</v>
      </c>
      <c r="R20">
        <f t="shared" si="14"/>
        <v>3.4196261475425258</v>
      </c>
      <c r="S20">
        <f t="shared" si="15"/>
        <v>2.2010626010038816</v>
      </c>
      <c r="T20">
        <f t="shared" si="16"/>
        <v>2.3092945257567838</v>
      </c>
      <c r="U20">
        <f t="shared" si="17"/>
        <v>2.3420252333807108</v>
      </c>
      <c r="V20">
        <f t="shared" si="18"/>
        <v>2.5112405409463525</v>
      </c>
      <c r="W20">
        <f t="shared" si="19"/>
        <v>1.1870028565097288</v>
      </c>
      <c r="X20">
        <f t="shared" si="20"/>
        <v>1.2453708483099832</v>
      </c>
      <c r="Y20">
        <f t="shared" si="21"/>
        <v>1.2630220697824965</v>
      </c>
      <c r="Z20">
        <f t="shared" si="22"/>
        <v>1.3542775630855854</v>
      </c>
    </row>
    <row r="21" spans="1:26" x14ac:dyDescent="0.25">
      <c r="A21">
        <v>24</v>
      </c>
      <c r="B21">
        <f t="shared" si="2"/>
        <v>1.3802112417116059</v>
      </c>
      <c r="C21" s="1">
        <v>818196</v>
      </c>
      <c r="D21" s="1">
        <v>1599076</v>
      </c>
      <c r="E21" s="1">
        <v>270810</v>
      </c>
      <c r="F21" s="1">
        <v>776687</v>
      </c>
      <c r="G21">
        <f t="shared" si="3"/>
        <v>5.9128573519868795</v>
      </c>
      <c r="H21">
        <f t="shared" si="4"/>
        <v>6.2038691051447703</v>
      </c>
      <c r="I21">
        <f t="shared" si="5"/>
        <v>5.4326646971794057</v>
      </c>
      <c r="J21">
        <f t="shared" si="6"/>
        <v>5.8902460360988966</v>
      </c>
      <c r="K21">
        <f t="shared" si="7"/>
        <v>4.2840234692294779</v>
      </c>
      <c r="L21">
        <f t="shared" si="8"/>
        <v>4.4948692762792781</v>
      </c>
      <c r="M21">
        <f t="shared" si="9"/>
        <v>3.9361110335852176</v>
      </c>
      <c r="N21">
        <f t="shared" si="10"/>
        <v>4.2676409654469829</v>
      </c>
      <c r="O21">
        <f t="shared" si="11"/>
        <v>3.1038897088802448</v>
      </c>
      <c r="P21">
        <f t="shared" si="12"/>
        <v>3.2566531415185196</v>
      </c>
      <c r="Q21">
        <f t="shared" si="13"/>
        <v>2.8518178338440641</v>
      </c>
      <c r="R21">
        <f t="shared" si="14"/>
        <v>3.0920201462456305</v>
      </c>
      <c r="S21">
        <f t="shared" si="15"/>
        <v>2.2488512012343111</v>
      </c>
      <c r="T21">
        <f t="shared" si="16"/>
        <v>2.3595323984464365</v>
      </c>
      <c r="U21">
        <f t="shared" si="17"/>
        <v>2.0662183785052441</v>
      </c>
      <c r="V21">
        <f t="shared" si="18"/>
        <v>2.2402513852960673</v>
      </c>
      <c r="W21">
        <f t="shared" si="19"/>
        <v>1.1805098085054637</v>
      </c>
      <c r="X21">
        <f t="shared" si="20"/>
        <v>1.2386106907934191</v>
      </c>
      <c r="Y21">
        <f t="shared" si="21"/>
        <v>1.0846387084218441</v>
      </c>
      <c r="Z21">
        <f t="shared" si="22"/>
        <v>1.1759954293144947</v>
      </c>
    </row>
    <row r="22" spans="1:26" x14ac:dyDescent="0.25">
      <c r="A22">
        <v>25</v>
      </c>
      <c r="B22">
        <f t="shared" si="2"/>
        <v>1.3979400086720377</v>
      </c>
      <c r="C22" s="1">
        <v>2156804</v>
      </c>
      <c r="D22" s="1">
        <v>3468479</v>
      </c>
      <c r="E22" s="1">
        <v>1510174</v>
      </c>
      <c r="F22" s="1">
        <v>3164217</v>
      </c>
      <c r="G22">
        <f t="shared" si="3"/>
        <v>6.3338106802967671</v>
      </c>
      <c r="H22">
        <f t="shared" si="4"/>
        <v>6.5401390693958135</v>
      </c>
      <c r="I22">
        <f t="shared" si="5"/>
        <v>6.1790269889397331</v>
      </c>
      <c r="J22">
        <f t="shared" si="6"/>
        <v>6.5002662594877672</v>
      </c>
      <c r="K22">
        <f t="shared" si="7"/>
        <v>4.5308172317877373</v>
      </c>
      <c r="L22">
        <f t="shared" si="8"/>
        <v>4.6784118265622627</v>
      </c>
      <c r="M22">
        <f t="shared" si="9"/>
        <v>4.4200945323894496</v>
      </c>
      <c r="N22">
        <f t="shared" si="10"/>
        <v>4.6498892793422835</v>
      </c>
      <c r="O22">
        <f t="shared" si="11"/>
        <v>3.241067001216849</v>
      </c>
      <c r="P22">
        <f t="shared" si="12"/>
        <v>3.3466470646379767</v>
      </c>
      <c r="Q22">
        <f t="shared" si="13"/>
        <v>3.1618628159789806</v>
      </c>
      <c r="R22">
        <f t="shared" si="14"/>
        <v>3.3262437947958943</v>
      </c>
      <c r="S22">
        <f t="shared" si="15"/>
        <v>2.3184592908930872</v>
      </c>
      <c r="T22">
        <f t="shared" si="16"/>
        <v>2.3939847517613422</v>
      </c>
      <c r="U22">
        <f t="shared" si="17"/>
        <v>2.2618015053325267</v>
      </c>
      <c r="V22">
        <f t="shared" si="18"/>
        <v>2.3793895118257855</v>
      </c>
      <c r="W22">
        <f t="shared" si="19"/>
        <v>1.1863761455254176</v>
      </c>
      <c r="X22">
        <f t="shared" si="20"/>
        <v>1.2250231925129864</v>
      </c>
      <c r="Y22">
        <f t="shared" si="21"/>
        <v>1.1573838550369135</v>
      </c>
      <c r="Z22">
        <f t="shared" si="22"/>
        <v>1.2175546790196594</v>
      </c>
    </row>
    <row r="23" spans="1:26" x14ac:dyDescent="0.25">
      <c r="A23">
        <v>26</v>
      </c>
      <c r="B23">
        <f t="shared" si="2"/>
        <v>1.414973347970818</v>
      </c>
      <c r="C23" s="1">
        <v>846798</v>
      </c>
      <c r="D23" s="1">
        <v>1869908</v>
      </c>
      <c r="E23" s="1">
        <v>922837</v>
      </c>
      <c r="F23" s="1">
        <v>1957995</v>
      </c>
      <c r="G23">
        <f t="shared" si="3"/>
        <v>5.9277798236152188</v>
      </c>
      <c r="H23">
        <f t="shared" si="4"/>
        <v>6.2718202396513547</v>
      </c>
      <c r="I23">
        <f t="shared" si="5"/>
        <v>5.9651249986944119</v>
      </c>
      <c r="J23">
        <f t="shared" si="6"/>
        <v>6.2918115784399573</v>
      </c>
      <c r="K23">
        <f t="shared" si="7"/>
        <v>4.1893225989847211</v>
      </c>
      <c r="L23">
        <f t="shared" si="8"/>
        <v>4.4324652818695371</v>
      </c>
      <c r="M23">
        <f t="shared" si="9"/>
        <v>4.2157154459826867</v>
      </c>
      <c r="N23">
        <f t="shared" si="10"/>
        <v>4.4465937026042965</v>
      </c>
      <c r="O23">
        <f t="shared" si="11"/>
        <v>2.9607077794027257</v>
      </c>
      <c r="P23">
        <f t="shared" si="12"/>
        <v>3.1325433007102483</v>
      </c>
      <c r="Q23">
        <f t="shared" si="13"/>
        <v>2.9793603194211049</v>
      </c>
      <c r="R23">
        <f t="shared" si="14"/>
        <v>3.1425282384159803</v>
      </c>
      <c r="S23">
        <f t="shared" si="15"/>
        <v>2.0924124003103035</v>
      </c>
      <c r="T23">
        <f t="shared" si="16"/>
        <v>2.213853218650768</v>
      </c>
      <c r="U23">
        <f t="shared" si="17"/>
        <v>2.105594655682907</v>
      </c>
      <c r="V23">
        <f t="shared" si="18"/>
        <v>2.2209098446430886</v>
      </c>
      <c r="W23">
        <f t="shared" si="19"/>
        <v>1.0450829578112169</v>
      </c>
      <c r="X23">
        <f t="shared" si="20"/>
        <v>1.1057381754974842</v>
      </c>
      <c r="Y23">
        <f t="shared" si="21"/>
        <v>1.0516670090400186</v>
      </c>
      <c r="Z23">
        <f t="shared" si="22"/>
        <v>1.1092627003775357</v>
      </c>
    </row>
    <row r="24" spans="1:26" x14ac:dyDescent="0.25">
      <c r="A24">
        <v>27</v>
      </c>
      <c r="B24">
        <f t="shared" si="2"/>
        <v>1.4313637641589874</v>
      </c>
      <c r="C24" s="1">
        <v>5896925</v>
      </c>
      <c r="D24" s="1">
        <v>12678777</v>
      </c>
      <c r="E24" s="1">
        <v>2571796</v>
      </c>
      <c r="F24" s="1">
        <v>4322419</v>
      </c>
      <c r="G24">
        <f t="shared" si="3"/>
        <v>6.7706256042415554</v>
      </c>
      <c r="H24">
        <f t="shared" si="4"/>
        <v>7.1030773633432185</v>
      </c>
      <c r="I24">
        <f t="shared" si="5"/>
        <v>6.4102365165118949</v>
      </c>
      <c r="J24">
        <f t="shared" si="6"/>
        <v>6.6357268635578421</v>
      </c>
      <c r="K24">
        <f t="shared" si="7"/>
        <v>4.7301921243058063</v>
      </c>
      <c r="L24">
        <f t="shared" si="8"/>
        <v>4.962454367787287</v>
      </c>
      <c r="M24">
        <f t="shared" si="9"/>
        <v>4.4784119013088866</v>
      </c>
      <c r="N24">
        <f t="shared" si="10"/>
        <v>4.6359472202069698</v>
      </c>
      <c r="O24">
        <f t="shared" si="11"/>
        <v>3.3046750537834666</v>
      </c>
      <c r="P24">
        <f t="shared" si="12"/>
        <v>3.4669414526523443</v>
      </c>
      <c r="Q24">
        <f t="shared" si="13"/>
        <v>3.1287727225232813</v>
      </c>
      <c r="R24">
        <f t="shared" si="14"/>
        <v>3.2388323194215198</v>
      </c>
      <c r="S24">
        <f t="shared" si="15"/>
        <v>2.308759755229072</v>
      </c>
      <c r="T24">
        <f t="shared" si="16"/>
        <v>2.4221246474612146</v>
      </c>
      <c r="U24">
        <f t="shared" si="17"/>
        <v>2.185868331214619</v>
      </c>
      <c r="V24">
        <f t="shared" si="18"/>
        <v>2.2627597543832816</v>
      </c>
      <c r="W24">
        <f t="shared" si="19"/>
        <v>1.126882686218095</v>
      </c>
      <c r="X24">
        <f t="shared" si="20"/>
        <v>1.1822149632088237</v>
      </c>
      <c r="Y24">
        <f t="shared" si="21"/>
        <v>1.066900603763252</v>
      </c>
      <c r="Z24">
        <f t="shared" si="22"/>
        <v>1.1044305430699242</v>
      </c>
    </row>
    <row r="25" spans="1:26" x14ac:dyDescent="0.25">
      <c r="A25">
        <v>28</v>
      </c>
      <c r="B25">
        <f t="shared" si="2"/>
        <v>1.4471580313422192</v>
      </c>
      <c r="C25" s="1">
        <v>8716906</v>
      </c>
      <c r="D25" s="1">
        <v>12394458</v>
      </c>
      <c r="E25" s="1">
        <v>465289</v>
      </c>
      <c r="F25" s="1">
        <v>644214</v>
      </c>
      <c r="G25">
        <f t="shared" si="3"/>
        <v>6.9403623627343851</v>
      </c>
      <c r="H25">
        <f t="shared" si="4"/>
        <v>7.0932275401594449</v>
      </c>
      <c r="I25">
        <f t="shared" si="5"/>
        <v>5.6677227854028773</v>
      </c>
      <c r="J25">
        <f t="shared" si="6"/>
        <v>5.8090301586343704</v>
      </c>
      <c r="K25">
        <f t="shared" si="7"/>
        <v>4.7958565771129322</v>
      </c>
      <c r="L25">
        <f t="shared" si="8"/>
        <v>4.9014878724617059</v>
      </c>
      <c r="M25">
        <f t="shared" si="9"/>
        <v>3.916450493071681</v>
      </c>
      <c r="N25">
        <f t="shared" si="10"/>
        <v>4.0140952355055344</v>
      </c>
      <c r="O25">
        <f t="shared" si="11"/>
        <v>3.3139826288804417</v>
      </c>
      <c r="P25">
        <f t="shared" si="12"/>
        <v>3.3869748612842532</v>
      </c>
      <c r="Q25">
        <f t="shared" si="13"/>
        <v>2.7063046386435259</v>
      </c>
      <c r="R25">
        <f t="shared" si="14"/>
        <v>2.7737780868220145</v>
      </c>
      <c r="S25">
        <f t="shared" si="15"/>
        <v>2.2899935992524387</v>
      </c>
      <c r="T25">
        <f t="shared" si="16"/>
        <v>2.3404319279096844</v>
      </c>
      <c r="U25">
        <f t="shared" si="17"/>
        <v>1.8700823130791497</v>
      </c>
      <c r="V25">
        <f t="shared" si="18"/>
        <v>1.9167071092086423</v>
      </c>
      <c r="W25">
        <f t="shared" si="19"/>
        <v>1.0934586137632218</v>
      </c>
      <c r="X25">
        <f t="shared" si="20"/>
        <v>1.1175426220993543</v>
      </c>
      <c r="Y25">
        <f t="shared" si="21"/>
        <v>0.89295341888736468</v>
      </c>
      <c r="Z25">
        <f t="shared" si="22"/>
        <v>0.91521648763977992</v>
      </c>
    </row>
    <row r="26" spans="1:26" x14ac:dyDescent="0.25">
      <c r="A26">
        <v>29</v>
      </c>
      <c r="B26">
        <f t="shared" si="2"/>
        <v>1.4623979978989561</v>
      </c>
      <c r="C26" s="1">
        <v>26154051</v>
      </c>
      <c r="D26" s="1">
        <v>30265030</v>
      </c>
      <c r="E26" s="1">
        <v>5174385</v>
      </c>
      <c r="F26" s="1">
        <v>12813565</v>
      </c>
      <c r="G26">
        <f t="shared" si="3"/>
        <v>7.4175389662697597</v>
      </c>
      <c r="H26">
        <f t="shared" si="4"/>
        <v>7.4809411087401614</v>
      </c>
      <c r="I26">
        <f t="shared" si="5"/>
        <v>6.7138587392539293</v>
      </c>
      <c r="J26">
        <f t="shared" si="6"/>
        <v>7.1076699763043258</v>
      </c>
      <c r="K26">
        <f t="shared" si="7"/>
        <v>5.0721752743963151</v>
      </c>
      <c r="L26">
        <f t="shared" si="8"/>
        <v>5.1155301904735335</v>
      </c>
      <c r="M26">
        <f t="shared" si="9"/>
        <v>4.5909928411416088</v>
      </c>
      <c r="N26">
        <f t="shared" si="10"/>
        <v>4.860284263597185</v>
      </c>
      <c r="O26">
        <f t="shared" si="11"/>
        <v>3.4683959371413029</v>
      </c>
      <c r="P26">
        <f t="shared" si="12"/>
        <v>3.4980423918954173</v>
      </c>
      <c r="Q26">
        <f t="shared" si="13"/>
        <v>3.1393593589006143</v>
      </c>
      <c r="R26">
        <f t="shared" si="14"/>
        <v>3.3235030891590465</v>
      </c>
      <c r="S26">
        <f t="shared" si="15"/>
        <v>2.3717181930803974</v>
      </c>
      <c r="T26">
        <f t="shared" si="16"/>
        <v>2.3919906871597845</v>
      </c>
      <c r="U26">
        <f t="shared" si="17"/>
        <v>2.146720224871046</v>
      </c>
      <c r="V26">
        <f t="shared" si="18"/>
        <v>2.2726392500085209</v>
      </c>
      <c r="W26">
        <f t="shared" si="19"/>
        <v>1.1090009479331395</v>
      </c>
      <c r="X26">
        <f t="shared" si="20"/>
        <v>1.1184802424026943</v>
      </c>
      <c r="Y26">
        <f t="shared" si="21"/>
        <v>1.0037932715931779</v>
      </c>
      <c r="Z26">
        <f t="shared" si="22"/>
        <v>1.0626722390218106</v>
      </c>
    </row>
    <row r="27" spans="1:26" x14ac:dyDescent="0.25">
      <c r="A27">
        <v>30</v>
      </c>
      <c r="B27">
        <f t="shared" si="2"/>
        <v>1.4771212547196624</v>
      </c>
      <c r="C27" s="1">
        <v>53681873</v>
      </c>
      <c r="D27" s="1">
        <v>98965827</v>
      </c>
      <c r="E27" s="1">
        <v>55352103</v>
      </c>
      <c r="F27" s="1">
        <v>157068147</v>
      </c>
      <c r="G27">
        <f t="shared" si="3"/>
        <v>7.7298276602789278</v>
      </c>
      <c r="H27">
        <f t="shared" si="4"/>
        <v>7.9954852581595048</v>
      </c>
      <c r="I27">
        <f t="shared" si="5"/>
        <v>7.7431341257376909</v>
      </c>
      <c r="J27">
        <f t="shared" si="6"/>
        <v>8.1960881202102858</v>
      </c>
      <c r="K27">
        <f t="shared" si="7"/>
        <v>5.2330352945506453</v>
      </c>
      <c r="L27">
        <f t="shared" si="8"/>
        <v>5.4128834938990433</v>
      </c>
      <c r="M27">
        <f t="shared" si="9"/>
        <v>5.2420436717683225</v>
      </c>
      <c r="N27">
        <f t="shared" si="10"/>
        <v>5.5486901254872221</v>
      </c>
      <c r="O27">
        <f t="shared" si="11"/>
        <v>3.5427256075492632</v>
      </c>
      <c r="P27">
        <f t="shared" si="12"/>
        <v>3.6644814883029597</v>
      </c>
      <c r="Q27">
        <f t="shared" si="13"/>
        <v>3.5488242112954986</v>
      </c>
      <c r="R27">
        <f t="shared" si="14"/>
        <v>3.7564215583237872</v>
      </c>
      <c r="S27">
        <f t="shared" si="15"/>
        <v>2.3983986394005443</v>
      </c>
      <c r="T27">
        <f t="shared" si="16"/>
        <v>2.4808264565920344</v>
      </c>
      <c r="U27">
        <f t="shared" si="17"/>
        <v>2.4025273483516543</v>
      </c>
      <c r="V27">
        <f t="shared" si="18"/>
        <v>2.5430691937587109</v>
      </c>
      <c r="W27">
        <f t="shared" si="19"/>
        <v>1.0992312701327436</v>
      </c>
      <c r="X27">
        <f t="shared" si="20"/>
        <v>1.1370094912746291</v>
      </c>
      <c r="Y27">
        <f t="shared" si="21"/>
        <v>1.1011235352090243</v>
      </c>
      <c r="Z27">
        <f t="shared" si="22"/>
        <v>1.1655365100563633</v>
      </c>
    </row>
    <row r="28" spans="1:26" x14ac:dyDescent="0.25">
      <c r="A28">
        <v>31</v>
      </c>
      <c r="B28">
        <f t="shared" si="2"/>
        <v>1.4913616938342726</v>
      </c>
      <c r="C28" s="1">
        <v>80483726</v>
      </c>
      <c r="D28" s="1">
        <v>105650578</v>
      </c>
      <c r="E28" s="1">
        <v>43646689</v>
      </c>
      <c r="F28" s="1">
        <v>124543898</v>
      </c>
      <c r="G28">
        <f t="shared" si="3"/>
        <v>7.9057080738721659</v>
      </c>
      <c r="H28">
        <f t="shared" si="4"/>
        <v>8.0238718773611097</v>
      </c>
      <c r="I28">
        <f t="shared" si="5"/>
        <v>7.6399513040881182</v>
      </c>
      <c r="J28">
        <f t="shared" si="6"/>
        <v>8.0953224542342497</v>
      </c>
      <c r="K28">
        <f t="shared" si="7"/>
        <v>5.3009998222139441</v>
      </c>
      <c r="L28">
        <f t="shared" si="8"/>
        <v>5.380231978958661</v>
      </c>
      <c r="M28">
        <f t="shared" si="9"/>
        <v>5.1228024265836529</v>
      </c>
      <c r="N28">
        <f t="shared" si="10"/>
        <v>5.4281416022033362</v>
      </c>
      <c r="O28">
        <f t="shared" si="11"/>
        <v>3.5544696126565642</v>
      </c>
      <c r="P28">
        <f t="shared" si="12"/>
        <v>3.607597004269401</v>
      </c>
      <c r="Q28">
        <f t="shared" si="13"/>
        <v>3.4349832423367337</v>
      </c>
      <c r="R28">
        <f t="shared" si="14"/>
        <v>3.6397217553896337</v>
      </c>
      <c r="S28">
        <f t="shared" si="15"/>
        <v>2.3833719394508961</v>
      </c>
      <c r="T28">
        <f t="shared" si="16"/>
        <v>2.4189953511507416</v>
      </c>
      <c r="U28">
        <f t="shared" si="17"/>
        <v>2.3032529644136384</v>
      </c>
      <c r="V28">
        <f t="shared" si="18"/>
        <v>2.4405359011414283</v>
      </c>
      <c r="W28">
        <f t="shared" si="19"/>
        <v>1.0715830960713937</v>
      </c>
      <c r="X28">
        <f t="shared" si="20"/>
        <v>1.087599667035446</v>
      </c>
      <c r="Y28">
        <f t="shared" si="21"/>
        <v>1.0355609637707714</v>
      </c>
      <c r="Z28">
        <f t="shared" si="22"/>
        <v>1.0972844706819214</v>
      </c>
    </row>
    <row r="29" spans="1:26" x14ac:dyDescent="0.25">
      <c r="A29">
        <v>32</v>
      </c>
      <c r="B29">
        <f t="shared" si="2"/>
        <v>1.505149978319906</v>
      </c>
      <c r="C29" s="1">
        <v>131040446</v>
      </c>
      <c r="D29" s="1">
        <v>196884725</v>
      </c>
      <c r="E29" s="1">
        <v>10804280</v>
      </c>
      <c r="F29" s="1">
        <v>29728354</v>
      </c>
      <c r="G29">
        <f t="shared" si="3"/>
        <v>8.1174053625528604</v>
      </c>
      <c r="H29">
        <f t="shared" si="4"/>
        <v>8.2942120233725376</v>
      </c>
      <c r="I29">
        <f t="shared" si="5"/>
        <v>7.0335958306874993</v>
      </c>
      <c r="J29">
        <f t="shared" si="6"/>
        <v>7.4731708638464873</v>
      </c>
      <c r="K29">
        <f t="shared" si="7"/>
        <v>5.3930873862907358</v>
      </c>
      <c r="L29">
        <f t="shared" si="8"/>
        <v>5.5105551890787572</v>
      </c>
      <c r="M29">
        <f t="shared" si="9"/>
        <v>4.6730199196086835</v>
      </c>
      <c r="N29">
        <f t="shared" si="10"/>
        <v>4.9650672501010611</v>
      </c>
      <c r="O29">
        <f t="shared" si="11"/>
        <v>3.58308970134037</v>
      </c>
      <c r="P29">
        <f t="shared" si="12"/>
        <v>3.6611336202056131</v>
      </c>
      <c r="Q29">
        <f t="shared" si="13"/>
        <v>3.1046872317832737</v>
      </c>
      <c r="R29">
        <f t="shared" si="14"/>
        <v>3.2987192782231705</v>
      </c>
      <c r="S29">
        <f t="shared" si="15"/>
        <v>2.3805532690768283</v>
      </c>
      <c r="T29">
        <f t="shared" si="16"/>
        <v>2.4324045264195404</v>
      </c>
      <c r="U29">
        <f t="shared" si="17"/>
        <v>2.0627095482197855</v>
      </c>
      <c r="V29">
        <f t="shared" si="18"/>
        <v>2.1916216494952221</v>
      </c>
      <c r="W29">
        <f t="shared" si="19"/>
        <v>1.0507958542110798</v>
      </c>
      <c r="X29">
        <f t="shared" si="20"/>
        <v>1.0736834270115334</v>
      </c>
      <c r="Y29">
        <f t="shared" si="21"/>
        <v>0.91049701339029709</v>
      </c>
      <c r="Z29">
        <f t="shared" si="22"/>
        <v>0.96739987850887454</v>
      </c>
    </row>
    <row r="30" spans="1:26" x14ac:dyDescent="0.25">
      <c r="A30">
        <v>33</v>
      </c>
      <c r="B30">
        <f t="shared" si="2"/>
        <v>1.5185139398778875</v>
      </c>
      <c r="C30" s="1">
        <v>229566941</v>
      </c>
      <c r="D30" s="1">
        <v>311575380</v>
      </c>
      <c r="E30" s="1">
        <v>9173097</v>
      </c>
      <c r="F30" s="1">
        <v>20462251</v>
      </c>
      <c r="G30">
        <f t="shared" si="3"/>
        <v>8.3609093472494607</v>
      </c>
      <c r="H30">
        <f t="shared" si="4"/>
        <v>8.4935631333632493</v>
      </c>
      <c r="I30">
        <f t="shared" si="5"/>
        <v>6.9625159859355934</v>
      </c>
      <c r="J30">
        <f t="shared" si="6"/>
        <v>7.3109534076315335</v>
      </c>
      <c r="K30">
        <f t="shared" si="7"/>
        <v>5.5059812937389365</v>
      </c>
      <c r="L30">
        <f t="shared" si="8"/>
        <v>5.5933389284831101</v>
      </c>
      <c r="M30">
        <f t="shared" si="9"/>
        <v>4.5850853278933279</v>
      </c>
      <c r="N30">
        <f t="shared" si="10"/>
        <v>4.814544809657427</v>
      </c>
      <c r="O30">
        <f t="shared" si="11"/>
        <v>3.6259010530925413</v>
      </c>
      <c r="P30">
        <f t="shared" si="12"/>
        <v>3.6834294250422901</v>
      </c>
      <c r="Q30">
        <f t="shared" si="13"/>
        <v>3.0194555397114375</v>
      </c>
      <c r="R30">
        <f t="shared" si="14"/>
        <v>3.1705634589331408</v>
      </c>
      <c r="S30">
        <f t="shared" si="15"/>
        <v>2.387795698065255</v>
      </c>
      <c r="T30">
        <f t="shared" si="16"/>
        <v>2.4256803499205914</v>
      </c>
      <c r="U30">
        <f t="shared" si="17"/>
        <v>1.9884279362982005</v>
      </c>
      <c r="V30">
        <f t="shared" si="18"/>
        <v>2.0879383294881735</v>
      </c>
      <c r="W30">
        <f t="shared" si="19"/>
        <v>1.0355226419280452</v>
      </c>
      <c r="X30">
        <f t="shared" si="20"/>
        <v>1.0519521944268411</v>
      </c>
      <c r="Y30">
        <f t="shared" si="21"/>
        <v>0.86232760681637333</v>
      </c>
      <c r="Z30">
        <f t="shared" si="22"/>
        <v>0.90548258248655877</v>
      </c>
    </row>
    <row r="31" spans="1:26" x14ac:dyDescent="0.25">
      <c r="A31">
        <v>34</v>
      </c>
      <c r="B31">
        <f t="shared" si="2"/>
        <v>1.5314789170422551</v>
      </c>
      <c r="C31" s="1">
        <v>540957808</v>
      </c>
      <c r="D31" s="1">
        <v>864933209</v>
      </c>
      <c r="E31" s="1">
        <v>228681606</v>
      </c>
      <c r="F31" s="1">
        <v>680128384</v>
      </c>
      <c r="G31">
        <f t="shared" si="3"/>
        <v>8.7331633936327382</v>
      </c>
      <c r="H31">
        <f t="shared" si="4"/>
        <v>8.936982572109109</v>
      </c>
      <c r="I31">
        <f t="shared" si="5"/>
        <v>8.3592312335443726</v>
      </c>
      <c r="J31">
        <f t="shared" si="6"/>
        <v>8.8325908997650853</v>
      </c>
      <c r="K31">
        <f t="shared" si="7"/>
        <v>5.7024378830490825</v>
      </c>
      <c r="L31">
        <f t="shared" si="8"/>
        <v>5.8355243893067108</v>
      </c>
      <c r="M31">
        <f t="shared" si="9"/>
        <v>5.4582737904669001</v>
      </c>
      <c r="N31">
        <f t="shared" si="10"/>
        <v>5.7673604262365332</v>
      </c>
      <c r="O31">
        <f t="shared" si="11"/>
        <v>3.7234844173122537</v>
      </c>
      <c r="P31">
        <f t="shared" si="12"/>
        <v>3.8103850626797122</v>
      </c>
      <c r="Q31">
        <f t="shared" si="13"/>
        <v>3.5640541503558292</v>
      </c>
      <c r="R31">
        <f t="shared" si="14"/>
        <v>3.7658764753843532</v>
      </c>
      <c r="S31">
        <f t="shared" si="15"/>
        <v>2.4312998212887047</v>
      </c>
      <c r="T31">
        <f t="shared" si="16"/>
        <v>2.4880427802680485</v>
      </c>
      <c r="U31">
        <f t="shared" si="17"/>
        <v>2.3271976588741334</v>
      </c>
      <c r="V31">
        <f t="shared" si="18"/>
        <v>2.4589802924988282</v>
      </c>
      <c r="W31">
        <f t="shared" si="19"/>
        <v>1.0366125755740403</v>
      </c>
      <c r="X31">
        <f t="shared" si="20"/>
        <v>1.0608055872043756</v>
      </c>
      <c r="Y31">
        <f t="shared" si="21"/>
        <v>0.99222742415894405</v>
      </c>
      <c r="Z31">
        <f t="shared" si="22"/>
        <v>1.048414462080584</v>
      </c>
    </row>
    <row r="32" spans="1:26" x14ac:dyDescent="0.25">
      <c r="A32">
        <v>35</v>
      </c>
      <c r="B32">
        <f t="shared" si="2"/>
        <v>1.5440680443502757</v>
      </c>
      <c r="C32" s="1">
        <v>795612307</v>
      </c>
      <c r="D32" s="1">
        <v>1191557942</v>
      </c>
      <c r="E32" s="1">
        <v>6970590</v>
      </c>
      <c r="F32" s="1">
        <v>12623887</v>
      </c>
      <c r="G32">
        <f t="shared" si="3"/>
        <v>8.9007014924273218</v>
      </c>
      <c r="H32">
        <f t="shared" si="4"/>
        <v>9.0761151656745334</v>
      </c>
      <c r="I32">
        <f t="shared" si="5"/>
        <v>6.8432695389158047</v>
      </c>
      <c r="J32">
        <f t="shared" si="6"/>
        <v>7.1011930983894187</v>
      </c>
      <c r="K32">
        <f t="shared" si="7"/>
        <v>5.7644489988604253</v>
      </c>
      <c r="L32">
        <f t="shared" si="8"/>
        <v>5.8780538842727283</v>
      </c>
      <c r="M32">
        <f t="shared" si="9"/>
        <v>4.4319740726163177</v>
      </c>
      <c r="N32">
        <f t="shared" si="10"/>
        <v>4.5990156485477369</v>
      </c>
      <c r="O32">
        <f t="shared" si="11"/>
        <v>3.7332868975253182</v>
      </c>
      <c r="P32">
        <f t="shared" si="12"/>
        <v>3.8068619487207505</v>
      </c>
      <c r="Q32">
        <f t="shared" si="13"/>
        <v>2.8703230332580563</v>
      </c>
      <c r="R32">
        <f t="shared" si="14"/>
        <v>2.9785058148023165</v>
      </c>
      <c r="S32">
        <f t="shared" si="15"/>
        <v>2.4178253744615499</v>
      </c>
      <c r="T32">
        <f t="shared" si="16"/>
        <v>2.4654755097419492</v>
      </c>
      <c r="U32">
        <f t="shared" si="17"/>
        <v>1.8589355849701896</v>
      </c>
      <c r="V32">
        <f t="shared" si="18"/>
        <v>1.9289990656180143</v>
      </c>
      <c r="W32">
        <f t="shared" si="19"/>
        <v>1.0141263358468096</v>
      </c>
      <c r="X32">
        <f t="shared" si="20"/>
        <v>1.0341125836564877</v>
      </c>
      <c r="Y32">
        <f t="shared" si="21"/>
        <v>0.77970706787742983</v>
      </c>
      <c r="Z32">
        <f t="shared" si="22"/>
        <v>0.80909431050320313</v>
      </c>
    </row>
    <row r="33" spans="1:26" x14ac:dyDescent="0.25">
      <c r="A33">
        <v>36</v>
      </c>
      <c r="B33">
        <f t="shared" si="2"/>
        <v>1.5563025007672873</v>
      </c>
      <c r="C33" s="1">
        <v>234504858</v>
      </c>
      <c r="D33" s="1">
        <v>625137243</v>
      </c>
      <c r="E33" s="1">
        <v>1057773808</v>
      </c>
      <c r="F33" s="1">
        <v>2984910455</v>
      </c>
      <c r="G33">
        <f t="shared" si="3"/>
        <v>8.3701518439838942</v>
      </c>
      <c r="H33">
        <f t="shared" si="4"/>
        <v>8.7959753730790595</v>
      </c>
      <c r="I33">
        <f t="shared" si="5"/>
        <v>9.0243928090604477</v>
      </c>
      <c r="J33">
        <f t="shared" si="6"/>
        <v>9.4749313071629775</v>
      </c>
      <c r="K33">
        <f t="shared" si="7"/>
        <v>5.3782293865474404</v>
      </c>
      <c r="L33">
        <f t="shared" si="8"/>
        <v>5.6518417009177027</v>
      </c>
      <c r="M33">
        <f t="shared" si="9"/>
        <v>5.798611005643985</v>
      </c>
      <c r="N33">
        <f t="shared" si="10"/>
        <v>6.0881038888594299</v>
      </c>
      <c r="O33">
        <f t="shared" si="11"/>
        <v>3.4557737868414837</v>
      </c>
      <c r="P33">
        <f t="shared" si="12"/>
        <v>3.6315829976056939</v>
      </c>
      <c r="Q33">
        <f t="shared" si="13"/>
        <v>3.7258894095364856</v>
      </c>
      <c r="R33">
        <f t="shared" si="14"/>
        <v>3.9119026576503453</v>
      </c>
      <c r="S33">
        <f t="shared" si="15"/>
        <v>2.220502624096357</v>
      </c>
      <c r="T33">
        <f t="shared" si="16"/>
        <v>2.3334685871257372</v>
      </c>
      <c r="U33">
        <f t="shared" si="17"/>
        <v>2.3940650405043686</v>
      </c>
      <c r="V33">
        <f t="shared" si="18"/>
        <v>2.5135875934927183</v>
      </c>
      <c r="W33">
        <f t="shared" si="19"/>
        <v>0.91677605197572865</v>
      </c>
      <c r="X33">
        <f t="shared" si="20"/>
        <v>0.96341616330451274</v>
      </c>
      <c r="Y33">
        <f t="shared" si="21"/>
        <v>0.98843454278731147</v>
      </c>
      <c r="Z33">
        <f t="shared" si="22"/>
        <v>1.0377816649485885</v>
      </c>
    </row>
    <row r="34" spans="1:26" x14ac:dyDescent="0.25">
      <c r="A34">
        <v>37</v>
      </c>
      <c r="B34">
        <f t="shared" si="2"/>
        <v>1.568201724066995</v>
      </c>
      <c r="C34" s="1">
        <v>3310467374</v>
      </c>
      <c r="D34" s="1">
        <v>7415513401</v>
      </c>
      <c r="E34" s="1">
        <v>569389298</v>
      </c>
      <c r="F34" s="1">
        <v>1657220102</v>
      </c>
      <c r="G34">
        <f t="shared" si="3"/>
        <v>9.5198893120899868</v>
      </c>
      <c r="H34">
        <f t="shared" si="4"/>
        <v>9.8701412240768409</v>
      </c>
      <c r="I34">
        <f t="shared" si="5"/>
        <v>8.7554093000725732</v>
      </c>
      <c r="J34">
        <f t="shared" si="6"/>
        <v>9.2193801926293499</v>
      </c>
      <c r="K34">
        <f t="shared" si="7"/>
        <v>6.0705769965620116</v>
      </c>
      <c r="L34">
        <f t="shared" si="8"/>
        <v>6.293923206817734</v>
      </c>
      <c r="M34">
        <f t="shared" si="9"/>
        <v>5.5830886841306233</v>
      </c>
      <c r="N34">
        <f t="shared" si="10"/>
        <v>5.8789504252805491</v>
      </c>
      <c r="O34">
        <f t="shared" si="11"/>
        <v>3.8710434400100624</v>
      </c>
      <c r="P34">
        <f t="shared" si="12"/>
        <v>4.0134653024707756</v>
      </c>
      <c r="Q34">
        <f t="shared" si="13"/>
        <v>3.5601852736466624</v>
      </c>
      <c r="R34">
        <f t="shared" si="14"/>
        <v>3.7488483369562946</v>
      </c>
      <c r="S34">
        <f t="shared" si="15"/>
        <v>2.4684601353267532</v>
      </c>
      <c r="T34">
        <f t="shared" si="16"/>
        <v>2.5592787208919794</v>
      </c>
      <c r="U34">
        <f t="shared" si="17"/>
        <v>2.2702342555864758</v>
      </c>
      <c r="V34">
        <f t="shared" si="18"/>
        <v>2.3905396094285511</v>
      </c>
      <c r="W34">
        <f t="shared" si="19"/>
        <v>1.0037423861270895</v>
      </c>
      <c r="X34">
        <f t="shared" si="20"/>
        <v>1.0406716694788176</v>
      </c>
      <c r="Y34">
        <f t="shared" si="21"/>
        <v>0.92313840363809951</v>
      </c>
      <c r="Z34">
        <f t="shared" si="22"/>
        <v>0.97205780128246277</v>
      </c>
    </row>
    <row r="35" spans="1:26" x14ac:dyDescent="0.25">
      <c r="A35">
        <v>38</v>
      </c>
      <c r="B35">
        <f t="shared" si="2"/>
        <v>1.5797835966168101</v>
      </c>
      <c r="C35" s="1">
        <v>2642127312</v>
      </c>
      <c r="D35" s="1">
        <v>7752316502</v>
      </c>
      <c r="E35" s="1">
        <v>2461535614</v>
      </c>
      <c r="F35" s="1">
        <v>7318142880</v>
      </c>
      <c r="G35">
        <f t="shared" si="3"/>
        <v>9.4219537404423814</v>
      </c>
      <c r="H35">
        <f t="shared" si="4"/>
        <v>9.8894314952431923</v>
      </c>
      <c r="I35">
        <f t="shared" si="5"/>
        <v>9.3912061236154933</v>
      </c>
      <c r="J35">
        <f t="shared" si="6"/>
        <v>9.8644008844331541</v>
      </c>
      <c r="K35">
        <f t="shared" si="7"/>
        <v>5.9640787261115964</v>
      </c>
      <c r="L35">
        <f t="shared" si="8"/>
        <v>6.2599912522334904</v>
      </c>
      <c r="M35">
        <f t="shared" si="9"/>
        <v>5.9446155433739509</v>
      </c>
      <c r="N35">
        <f t="shared" si="10"/>
        <v>6.2441469233876647</v>
      </c>
      <c r="O35">
        <f t="shared" si="11"/>
        <v>3.7752504449875195</v>
      </c>
      <c r="P35">
        <f t="shared" si="12"/>
        <v>3.9625625089661591</v>
      </c>
      <c r="Q35">
        <f t="shared" si="13"/>
        <v>3.7629302874802968</v>
      </c>
      <c r="R35">
        <f t="shared" si="14"/>
        <v>3.9525330790621158</v>
      </c>
      <c r="S35">
        <f t="shared" si="15"/>
        <v>2.3897263226890173</v>
      </c>
      <c r="T35">
        <f t="shared" si="16"/>
        <v>2.5082945015077986</v>
      </c>
      <c r="U35">
        <f t="shared" si="17"/>
        <v>2.3819276865127668</v>
      </c>
      <c r="V35">
        <f t="shared" si="18"/>
        <v>2.5019458915301271</v>
      </c>
      <c r="W35">
        <f t="shared" si="19"/>
        <v>0.9575312734136292</v>
      </c>
      <c r="X35">
        <f t="shared" si="20"/>
        <v>1.0050399517810045</v>
      </c>
      <c r="Y35">
        <f t="shared" si="21"/>
        <v>0.95440646453579425</v>
      </c>
      <c r="Z35">
        <f t="shared" si="22"/>
        <v>1.0024961489452531</v>
      </c>
    </row>
    <row r="36" spans="1:26" x14ac:dyDescent="0.25">
      <c r="A36">
        <v>39</v>
      </c>
      <c r="B36">
        <f t="shared" si="2"/>
        <v>1.5910646070264991</v>
      </c>
      <c r="C36" s="1">
        <v>4019911266</v>
      </c>
      <c r="D36" s="1">
        <v>11854874454</v>
      </c>
      <c r="E36" s="1">
        <v>4459390</v>
      </c>
      <c r="F36" s="1">
        <v>8486248</v>
      </c>
      <c r="G36">
        <f t="shared" si="3"/>
        <v>9.604216466738233</v>
      </c>
      <c r="H36">
        <f t="shared" si="4"/>
        <v>10.073896959054508</v>
      </c>
      <c r="I36">
        <f t="shared" si="5"/>
        <v>6.6492754556286631</v>
      </c>
      <c r="J36">
        <f t="shared" si="6"/>
        <v>6.9287157193299285</v>
      </c>
      <c r="K36">
        <f t="shared" si="7"/>
        <v>6.0363459939488653</v>
      </c>
      <c r="L36">
        <f t="shared" si="8"/>
        <v>6.3315448754034964</v>
      </c>
      <c r="M36">
        <f t="shared" si="9"/>
        <v>4.1791360490730343</v>
      </c>
      <c r="N36">
        <f t="shared" si="10"/>
        <v>4.354767046373329</v>
      </c>
      <c r="O36">
        <f t="shared" si="11"/>
        <v>3.7939037593388751</v>
      </c>
      <c r="P36">
        <f t="shared" si="12"/>
        <v>3.9794392053232599</v>
      </c>
      <c r="Q36">
        <f t="shared" si="13"/>
        <v>2.626628755750728</v>
      </c>
      <c r="R36">
        <f t="shared" si="14"/>
        <v>2.7370145920798556</v>
      </c>
      <c r="S36">
        <f t="shared" si="15"/>
        <v>2.3845064132431473</v>
      </c>
      <c r="T36">
        <f t="shared" si="16"/>
        <v>2.5011172945141018</v>
      </c>
      <c r="U36">
        <f t="shared" si="17"/>
        <v>1.6508624125952802</v>
      </c>
      <c r="V36">
        <f t="shared" si="18"/>
        <v>1.7202410134651875</v>
      </c>
      <c r="W36">
        <f t="shared" si="19"/>
        <v>0.94193918647100439</v>
      </c>
      <c r="X36">
        <f t="shared" si="20"/>
        <v>0.98800337737776589</v>
      </c>
      <c r="Y36">
        <f t="shared" si="21"/>
        <v>0.65213160646550705</v>
      </c>
      <c r="Z36">
        <f t="shared" si="22"/>
        <v>0.67953787490703932</v>
      </c>
    </row>
    <row r="37" spans="1:26" x14ac:dyDescent="0.25">
      <c r="A37">
        <v>40</v>
      </c>
      <c r="B37">
        <f t="shared" si="2"/>
        <v>1.6020599913279623</v>
      </c>
      <c r="C37" s="1">
        <v>8660089998</v>
      </c>
      <c r="D37" s="1">
        <v>25704822303</v>
      </c>
      <c r="E37" s="1">
        <v>41017346</v>
      </c>
      <c r="F37" s="1">
        <v>98461286</v>
      </c>
      <c r="G37">
        <f t="shared" si="3"/>
        <v>9.9375224053466411</v>
      </c>
      <c r="H37">
        <f t="shared" si="4"/>
        <v>10.410014605943053</v>
      </c>
      <c r="I37">
        <f t="shared" si="5"/>
        <v>7.6129675562068027</v>
      </c>
      <c r="J37">
        <f t="shared" si="6"/>
        <v>7.9932655037814087</v>
      </c>
      <c r="K37">
        <f t="shared" si="7"/>
        <v>6.2029652192420945</v>
      </c>
      <c r="L37">
        <f t="shared" si="8"/>
        <v>6.4978931265327304</v>
      </c>
      <c r="M37">
        <f t="shared" si="9"/>
        <v>4.7519865656818157</v>
      </c>
      <c r="N37">
        <f t="shared" si="10"/>
        <v>4.9893671566916273</v>
      </c>
      <c r="O37">
        <f t="shared" si="11"/>
        <v>3.8718682526366566</v>
      </c>
      <c r="P37">
        <f t="shared" si="12"/>
        <v>4.055961176052195</v>
      </c>
      <c r="Q37">
        <f t="shared" si="13"/>
        <v>2.9661726723122586</v>
      </c>
      <c r="R37">
        <f t="shared" si="14"/>
        <v>3.1143447709195304</v>
      </c>
      <c r="S37">
        <f t="shared" si="15"/>
        <v>2.4168060332292733</v>
      </c>
      <c r="T37">
        <f t="shared" si="16"/>
        <v>2.5317161641931847</v>
      </c>
      <c r="U37">
        <f t="shared" si="17"/>
        <v>1.8514741572527325</v>
      </c>
      <c r="V37">
        <f t="shared" si="18"/>
        <v>1.9439626404614359</v>
      </c>
      <c r="W37">
        <f t="shared" si="19"/>
        <v>0.94163858667695199</v>
      </c>
      <c r="X37">
        <f t="shared" si="20"/>
        <v>0.98640999647484184</v>
      </c>
      <c r="Y37">
        <f t="shared" si="21"/>
        <v>0.72137336829420762</v>
      </c>
      <c r="Z37">
        <f t="shared" si="22"/>
        <v>0.75740883138686221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A0B4-F7B0-483E-871D-12D72D44440E}">
  <dimension ref="A1:E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 x14ac:dyDescent="0.25"/>
  <cols>
    <col min="1" max="1" width="3.7109375" bestFit="1" customWidth="1"/>
    <col min="2" max="2" width="29" bestFit="1" customWidth="1"/>
    <col min="3" max="3" width="29.28515625" bestFit="1" customWidth="1"/>
    <col min="4" max="4" width="27.7109375" bestFit="1" customWidth="1"/>
    <col min="5" max="5" width="24" bestFit="1" customWidth="1"/>
  </cols>
  <sheetData>
    <row r="1" spans="1:5" s="2" customFormat="1" x14ac:dyDescent="0.25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</row>
    <row r="2" spans="1:5" x14ac:dyDescent="0.25">
      <c r="A2">
        <v>5</v>
      </c>
      <c r="B2">
        <v>1.6826061944859854</v>
      </c>
      <c r="C2">
        <v>1.7958889470453634</v>
      </c>
      <c r="D2">
        <v>1.9205726604783708</v>
      </c>
      <c r="E2">
        <v>2.1336562149773224</v>
      </c>
    </row>
    <row r="3" spans="1:5" x14ac:dyDescent="0.25">
      <c r="A3">
        <v>6</v>
      </c>
      <c r="B3">
        <v>1.5812464746045691</v>
      </c>
      <c r="C3">
        <v>1.7499526414000295</v>
      </c>
      <c r="D3">
        <v>2.2943223880069139</v>
      </c>
      <c r="E3">
        <v>2.643322683504497</v>
      </c>
    </row>
    <row r="4" spans="1:5" x14ac:dyDescent="0.25">
      <c r="A4">
        <v>7</v>
      </c>
      <c r="B4">
        <v>1.7478696965085179</v>
      </c>
      <c r="C4">
        <v>2</v>
      </c>
      <c r="D4">
        <v>2.3237396542919755</v>
      </c>
      <c r="E4">
        <v>2.4602840707245623</v>
      </c>
    </row>
    <row r="5" spans="1:5" x14ac:dyDescent="0.25">
      <c r="A5">
        <v>8</v>
      </c>
      <c r="B5">
        <v>1.8715699480384027</v>
      </c>
      <c r="C5">
        <v>2.1364636453792341</v>
      </c>
      <c r="D5">
        <v>2.6940496804512906</v>
      </c>
      <c r="E5">
        <v>2.9138223288003826</v>
      </c>
    </row>
    <row r="6" spans="1:5" x14ac:dyDescent="0.25">
      <c r="A6">
        <v>9</v>
      </c>
      <c r="B6">
        <v>2.355767264741357</v>
      </c>
      <c r="C6">
        <v>2.5</v>
      </c>
      <c r="D6">
        <v>2.9226062433689415</v>
      </c>
      <c r="E6">
        <v>3.2432220842615722</v>
      </c>
    </row>
    <row r="7" spans="1:5" x14ac:dyDescent="0.25">
      <c r="A7">
        <v>10</v>
      </c>
      <c r="B7">
        <v>2.2624510897304293</v>
      </c>
      <c r="C7">
        <v>2.3909351071033793</v>
      </c>
      <c r="D7">
        <v>2.8388490907372552</v>
      </c>
      <c r="E7">
        <v>3.0161973535124389</v>
      </c>
    </row>
    <row r="8" spans="1:5" x14ac:dyDescent="0.25">
      <c r="A8">
        <v>11</v>
      </c>
      <c r="B8">
        <v>2.2530914686558829</v>
      </c>
      <c r="C8">
        <v>2.4094681651713969</v>
      </c>
      <c r="D8">
        <v>2.7928802077544321</v>
      </c>
      <c r="E8">
        <v>3.120051065941031</v>
      </c>
    </row>
    <row r="9" spans="1:5" x14ac:dyDescent="0.25">
      <c r="A9">
        <v>12</v>
      </c>
      <c r="B9">
        <v>2.6193213888042743</v>
      </c>
      <c r="C9">
        <v>2.7325361442021174</v>
      </c>
      <c r="D9">
        <v>2.6905883758807447</v>
      </c>
      <c r="E9">
        <v>2.87257190713918</v>
      </c>
    </row>
    <row r="10" spans="1:5" x14ac:dyDescent="0.25">
      <c r="A10">
        <v>13</v>
      </c>
      <c r="B10">
        <v>2.7061704102953086</v>
      </c>
      <c r="C10">
        <v>2.8115786038173054</v>
      </c>
      <c r="D10">
        <v>3.8447227189987538</v>
      </c>
      <c r="E10">
        <v>4.2030786814202665</v>
      </c>
    </row>
    <row r="11" spans="1:5" x14ac:dyDescent="0.25">
      <c r="A11">
        <v>14</v>
      </c>
      <c r="B11">
        <v>3.0435243767780502</v>
      </c>
      <c r="C11">
        <v>3.1539162113047099</v>
      </c>
      <c r="D11">
        <v>3.5058192414019613</v>
      </c>
      <c r="E11">
        <v>3.7746331957051646</v>
      </c>
    </row>
    <row r="12" spans="1:5" x14ac:dyDescent="0.25">
      <c r="A12">
        <v>15</v>
      </c>
      <c r="B12">
        <v>3.1382807461884408</v>
      </c>
      <c r="C12">
        <v>3.2328764659298863</v>
      </c>
      <c r="D12">
        <v>3.2096223836759168</v>
      </c>
      <c r="E12">
        <v>3.5035055954601106</v>
      </c>
    </row>
    <row r="13" spans="1:5" x14ac:dyDescent="0.25">
      <c r="A13">
        <v>16</v>
      </c>
      <c r="B13">
        <v>3.2830445952288865</v>
      </c>
      <c r="C13">
        <v>3.3218198765257299</v>
      </c>
      <c r="D13">
        <v>3.7604147879093035</v>
      </c>
      <c r="E13">
        <v>3.9812668968092506</v>
      </c>
    </row>
    <row r="14" spans="1:5" x14ac:dyDescent="0.25">
      <c r="A14">
        <v>17</v>
      </c>
      <c r="B14">
        <v>3.3279643923941222</v>
      </c>
      <c r="C14">
        <v>3.3458033331454593</v>
      </c>
      <c r="D14">
        <v>3.9379290394063529</v>
      </c>
      <c r="E14">
        <v>4.2376962840088357</v>
      </c>
    </row>
    <row r="15" spans="1:5" x14ac:dyDescent="0.25">
      <c r="A15">
        <v>18</v>
      </c>
      <c r="B15">
        <v>3.4350833327728321</v>
      </c>
      <c r="C15">
        <v>3.562300887527329</v>
      </c>
      <c r="D15">
        <v>3.3426205348645959</v>
      </c>
      <c r="E15">
        <v>3.6819173366872096</v>
      </c>
    </row>
    <row r="16" spans="1:5" x14ac:dyDescent="0.25">
      <c r="A16">
        <v>19</v>
      </c>
      <c r="B16">
        <v>3.5544242990676294</v>
      </c>
      <c r="C16">
        <v>3.6563833602601781</v>
      </c>
      <c r="D16">
        <v>3.0416100342328449</v>
      </c>
      <c r="E16">
        <v>3.3033902566820399</v>
      </c>
    </row>
    <row r="17" spans="1:5" x14ac:dyDescent="0.25">
      <c r="A17">
        <v>20</v>
      </c>
      <c r="B17">
        <v>3.8754276210327054</v>
      </c>
      <c r="C17">
        <v>3.9898518236279976</v>
      </c>
      <c r="D17">
        <v>3.5394892085153478</v>
      </c>
      <c r="E17">
        <v>3.7470916512847583</v>
      </c>
    </row>
    <row r="18" spans="1:5" x14ac:dyDescent="0.25">
      <c r="A18">
        <v>21</v>
      </c>
      <c r="B18">
        <v>3.8161508794119561</v>
      </c>
      <c r="C18">
        <v>3.936488471117678</v>
      </c>
      <c r="D18">
        <v>4.9001138479390871</v>
      </c>
      <c r="E18">
        <v>5.2527230211339884</v>
      </c>
    </row>
    <row r="19" spans="1:5" x14ac:dyDescent="0.25">
      <c r="A19">
        <v>22</v>
      </c>
      <c r="B19">
        <v>4.0740510788509292</v>
      </c>
      <c r="C19">
        <v>4.1637777819551323</v>
      </c>
      <c r="D19">
        <v>4.0908617472520303</v>
      </c>
      <c r="E19">
        <v>4.256650449467223</v>
      </c>
    </row>
    <row r="20" spans="1:5" x14ac:dyDescent="0.25">
      <c r="A20">
        <v>23</v>
      </c>
      <c r="B20">
        <v>4.0814363225572103</v>
      </c>
      <c r="C20">
        <v>4.2821310727861679</v>
      </c>
      <c r="D20">
        <v>4.3428237122860018</v>
      </c>
      <c r="E20">
        <v>4.656600113882261</v>
      </c>
    </row>
    <row r="21" spans="1:5" x14ac:dyDescent="0.25">
      <c r="A21">
        <v>24</v>
      </c>
      <c r="B21">
        <v>4.2840234692294779</v>
      </c>
      <c r="C21">
        <v>4.4948692762792781</v>
      </c>
      <c r="D21">
        <v>3.9361110335852176</v>
      </c>
      <c r="E21">
        <v>4.2676409654469829</v>
      </c>
    </row>
    <row r="22" spans="1:5" x14ac:dyDescent="0.25">
      <c r="A22">
        <v>25</v>
      </c>
      <c r="B22">
        <v>4.5308172317877373</v>
      </c>
      <c r="C22">
        <v>4.6784118265622627</v>
      </c>
      <c r="D22">
        <v>4.4200945323894496</v>
      </c>
      <c r="E22">
        <v>4.6498892793422835</v>
      </c>
    </row>
    <row r="23" spans="1:5" x14ac:dyDescent="0.25">
      <c r="A23">
        <v>26</v>
      </c>
      <c r="B23">
        <v>4.1893225989847211</v>
      </c>
      <c r="C23">
        <v>4.4324652818695371</v>
      </c>
      <c r="D23">
        <v>4.2157154459826867</v>
      </c>
      <c r="E23">
        <v>4.4465937026042965</v>
      </c>
    </row>
    <row r="24" spans="1:5" x14ac:dyDescent="0.25">
      <c r="A24">
        <v>27</v>
      </c>
      <c r="B24">
        <v>4.7301921243058063</v>
      </c>
      <c r="C24">
        <v>4.962454367787287</v>
      </c>
      <c r="D24">
        <v>4.4784119013088866</v>
      </c>
      <c r="E24">
        <v>4.6359472202069698</v>
      </c>
    </row>
    <row r="25" spans="1:5" x14ac:dyDescent="0.25">
      <c r="A25">
        <v>28</v>
      </c>
      <c r="B25">
        <v>4.7958565771129322</v>
      </c>
      <c r="C25">
        <v>4.9014878724617059</v>
      </c>
      <c r="D25">
        <v>3.916450493071681</v>
      </c>
      <c r="E25">
        <v>4.0140952355055344</v>
      </c>
    </row>
    <row r="26" spans="1:5" x14ac:dyDescent="0.25">
      <c r="A26">
        <v>29</v>
      </c>
      <c r="B26">
        <v>5.0721752743963151</v>
      </c>
      <c r="C26">
        <v>5.1155301904735335</v>
      </c>
      <c r="D26">
        <v>4.5909928411416088</v>
      </c>
      <c r="E26">
        <v>4.860284263597185</v>
      </c>
    </row>
    <row r="27" spans="1:5" x14ac:dyDescent="0.25">
      <c r="A27">
        <v>30</v>
      </c>
      <c r="B27">
        <v>5.2330352945506453</v>
      </c>
      <c r="C27">
        <v>5.4128834938990433</v>
      </c>
      <c r="D27">
        <v>5.2420436717683225</v>
      </c>
      <c r="E27">
        <v>5.5486901254872221</v>
      </c>
    </row>
    <row r="28" spans="1:5" x14ac:dyDescent="0.25">
      <c r="A28">
        <v>31</v>
      </c>
      <c r="B28">
        <v>5.3009998222139441</v>
      </c>
      <c r="C28">
        <v>5.380231978958661</v>
      </c>
      <c r="D28">
        <v>5.1228024265836529</v>
      </c>
      <c r="E28">
        <v>5.4281416022033362</v>
      </c>
    </row>
    <row r="29" spans="1:5" x14ac:dyDescent="0.25">
      <c r="A29">
        <v>32</v>
      </c>
      <c r="B29">
        <v>5.3930873862907358</v>
      </c>
      <c r="C29">
        <v>5.5105551890787572</v>
      </c>
      <c r="D29">
        <v>4.6730199196086835</v>
      </c>
      <c r="E29">
        <v>4.9650672501010611</v>
      </c>
    </row>
    <row r="30" spans="1:5" x14ac:dyDescent="0.25">
      <c r="A30">
        <v>33</v>
      </c>
      <c r="B30">
        <v>5.5059812937389365</v>
      </c>
      <c r="C30">
        <v>5.5933389284831101</v>
      </c>
      <c r="D30">
        <v>4.5850853278933279</v>
      </c>
      <c r="E30">
        <v>4.814544809657427</v>
      </c>
    </row>
    <row r="31" spans="1:5" x14ac:dyDescent="0.25">
      <c r="A31">
        <v>34</v>
      </c>
      <c r="B31">
        <v>5.7024378830490825</v>
      </c>
      <c r="C31">
        <v>5.8355243893067108</v>
      </c>
      <c r="D31">
        <v>5.4582737904669001</v>
      </c>
      <c r="E31">
        <v>5.7673604262365332</v>
      </c>
    </row>
    <row r="32" spans="1:5" x14ac:dyDescent="0.25">
      <c r="A32">
        <v>35</v>
      </c>
      <c r="B32">
        <v>5.7644489988604253</v>
      </c>
      <c r="C32">
        <v>5.8780538842727283</v>
      </c>
      <c r="D32">
        <v>4.4319740726163177</v>
      </c>
      <c r="E32">
        <v>4.5990156485477369</v>
      </c>
    </row>
    <row r="33" spans="1:5" x14ac:dyDescent="0.25">
      <c r="A33">
        <v>36</v>
      </c>
      <c r="B33">
        <v>5.3782293865474404</v>
      </c>
      <c r="C33">
        <v>5.6518417009177027</v>
      </c>
      <c r="D33">
        <v>5.798611005643985</v>
      </c>
      <c r="E33">
        <v>6.0881038888594299</v>
      </c>
    </row>
    <row r="34" spans="1:5" x14ac:dyDescent="0.25">
      <c r="A34">
        <v>37</v>
      </c>
      <c r="B34">
        <v>6.0705769965620116</v>
      </c>
      <c r="C34">
        <v>6.293923206817734</v>
      </c>
      <c r="D34">
        <v>5.5830886841306233</v>
      </c>
      <c r="E34">
        <v>5.8789504252805491</v>
      </c>
    </row>
    <row r="35" spans="1:5" x14ac:dyDescent="0.25">
      <c r="A35">
        <v>38</v>
      </c>
      <c r="B35">
        <v>5.9640787261115964</v>
      </c>
      <c r="C35">
        <v>6.2599912522334904</v>
      </c>
      <c r="D35">
        <v>5.9446155433739509</v>
      </c>
      <c r="E35">
        <v>6.2441469233876647</v>
      </c>
    </row>
    <row r="36" spans="1:5" x14ac:dyDescent="0.25">
      <c r="A36">
        <v>39</v>
      </c>
      <c r="B36">
        <v>6.0363459939488653</v>
      </c>
      <c r="C36">
        <v>6.3315448754034964</v>
      </c>
      <c r="D36">
        <v>4.1791360490730343</v>
      </c>
      <c r="E36">
        <v>4.354767046373329</v>
      </c>
    </row>
    <row r="37" spans="1:5" x14ac:dyDescent="0.25">
      <c r="A37">
        <v>40</v>
      </c>
      <c r="B37">
        <v>6.2029652192420945</v>
      </c>
      <c r="C37">
        <v>6.4978931265327304</v>
      </c>
      <c r="D37">
        <v>4.7519865656818157</v>
      </c>
      <c r="E37">
        <v>4.9893671566916273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41F0-ED84-4EC7-AAB9-04EDCD604BF2}">
  <dimension ref="A1:E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 x14ac:dyDescent="0.25"/>
  <cols>
    <col min="1" max="1" width="3.7109375" bestFit="1" customWidth="1"/>
    <col min="2" max="2" width="33.42578125" bestFit="1" customWidth="1"/>
    <col min="3" max="3" width="33.7109375" bestFit="1" customWidth="1"/>
    <col min="4" max="4" width="32.140625" bestFit="1" customWidth="1"/>
    <col min="5" max="5" width="28.42578125" bestFit="1" customWidth="1"/>
  </cols>
  <sheetData>
    <row r="1" spans="1:5" x14ac:dyDescent="0.25">
      <c r="A1" s="2" t="s">
        <v>0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 x14ac:dyDescent="0.25">
      <c r="A2">
        <v>5</v>
      </c>
      <c r="B2">
        <v>2.4072652389201794</v>
      </c>
      <c r="C2">
        <v>2.5693362174409105</v>
      </c>
      <c r="D2">
        <v>2.7477182834230547</v>
      </c>
      <c r="E2">
        <v>3.0525719297556591</v>
      </c>
    </row>
    <row r="3" spans="1:5" x14ac:dyDescent="0.25">
      <c r="A3">
        <v>6</v>
      </c>
      <c r="B3">
        <v>2.0320554311581249</v>
      </c>
      <c r="C3">
        <v>2.2488592552376789</v>
      </c>
      <c r="D3">
        <v>2.9484272972327275</v>
      </c>
      <c r="E3">
        <v>3.3969266028953724</v>
      </c>
    </row>
    <row r="4" spans="1:5" x14ac:dyDescent="0.25">
      <c r="A4">
        <v>7</v>
      </c>
      <c r="B4">
        <v>2.0682448825452622</v>
      </c>
      <c r="C4">
        <v>2.3665893249098766</v>
      </c>
      <c r="D4">
        <v>2.7496687298585782</v>
      </c>
      <c r="E4">
        <v>2.9112410090112824</v>
      </c>
    </row>
    <row r="5" spans="1:5" x14ac:dyDescent="0.25">
      <c r="A5">
        <v>8</v>
      </c>
      <c r="B5">
        <v>2.0724069306452173</v>
      </c>
      <c r="C5">
        <v>2.3657262024302494</v>
      </c>
      <c r="D5">
        <v>2.9831464408378214</v>
      </c>
      <c r="E5">
        <v>3.2265027525173711</v>
      </c>
    </row>
    <row r="6" spans="1:5" x14ac:dyDescent="0.25">
      <c r="A6">
        <v>9</v>
      </c>
      <c r="B6">
        <v>2.4687301618175788</v>
      </c>
      <c r="C6">
        <v>2.6198790928617308</v>
      </c>
      <c r="D6">
        <v>3.0627499974677814</v>
      </c>
      <c r="E6">
        <v>3.3987398928257355</v>
      </c>
    </row>
    <row r="7" spans="1:5" x14ac:dyDescent="0.25">
      <c r="A7">
        <v>10</v>
      </c>
      <c r="B7">
        <v>2.2624510897304293</v>
      </c>
      <c r="C7">
        <v>2.3909351071033793</v>
      </c>
      <c r="D7">
        <v>2.8388490907372552</v>
      </c>
      <c r="E7">
        <v>3.0161973535124389</v>
      </c>
    </row>
    <row r="8" spans="1:5" x14ac:dyDescent="0.25">
      <c r="A8">
        <v>11</v>
      </c>
      <c r="B8">
        <v>2.1635368682405876</v>
      </c>
      <c r="C8">
        <v>2.3136979926119912</v>
      </c>
      <c r="D8">
        <v>2.6818703910236255</v>
      </c>
      <c r="E8">
        <v>2.9960370477030791</v>
      </c>
    </row>
    <row r="9" spans="1:5" x14ac:dyDescent="0.25">
      <c r="A9">
        <v>12</v>
      </c>
      <c r="B9">
        <v>2.4271376086243461</v>
      </c>
      <c r="C9">
        <v>2.5320456171840564</v>
      </c>
      <c r="D9">
        <v>2.4931756234040483</v>
      </c>
      <c r="E9">
        <v>2.6618067332615709</v>
      </c>
    </row>
    <row r="10" spans="1:5" x14ac:dyDescent="0.25">
      <c r="A10">
        <v>13</v>
      </c>
      <c r="B10">
        <v>2.4293608868809797</v>
      </c>
      <c r="C10">
        <v>2.5239870573264604</v>
      </c>
      <c r="D10">
        <v>3.4514526353937263</v>
      </c>
      <c r="E10">
        <v>3.7731529818964482</v>
      </c>
    </row>
    <row r="11" spans="1:5" x14ac:dyDescent="0.25">
      <c r="A11">
        <v>14</v>
      </c>
      <c r="B11">
        <v>2.6554837522816555</v>
      </c>
      <c r="C11">
        <v>2.7518009446809617</v>
      </c>
      <c r="D11">
        <v>3.0588373482438564</v>
      </c>
      <c r="E11">
        <v>3.2933782947482571</v>
      </c>
    </row>
    <row r="12" spans="1:5" x14ac:dyDescent="0.25">
      <c r="A12">
        <v>15</v>
      </c>
      <c r="B12">
        <v>2.6683990056250053</v>
      </c>
      <c r="C12">
        <v>2.7488313011744165</v>
      </c>
      <c r="D12">
        <v>2.7290589560652108</v>
      </c>
      <c r="E12">
        <v>2.9789402552597659</v>
      </c>
    </row>
    <row r="13" spans="1:5" x14ac:dyDescent="0.25">
      <c r="A13">
        <v>16</v>
      </c>
      <c r="B13">
        <v>2.7265095194147362</v>
      </c>
      <c r="C13">
        <v>2.7587116934965223</v>
      </c>
      <c r="D13">
        <v>3.122956883096454</v>
      </c>
      <c r="E13">
        <v>3.3063705894389184</v>
      </c>
    </row>
    <row r="14" spans="1:5" x14ac:dyDescent="0.25">
      <c r="A14">
        <v>17</v>
      </c>
      <c r="B14">
        <v>2.7046749642125247</v>
      </c>
      <c r="C14">
        <v>2.7191728766747136</v>
      </c>
      <c r="D14">
        <v>3.2004002531005717</v>
      </c>
      <c r="E14">
        <v>3.4440245428977474</v>
      </c>
    </row>
    <row r="15" spans="1:5" x14ac:dyDescent="0.25">
      <c r="A15">
        <v>18</v>
      </c>
      <c r="B15">
        <v>2.7365239968273922</v>
      </c>
      <c r="C15">
        <v>2.837870560412028</v>
      </c>
      <c r="D15">
        <v>2.6628644547500113</v>
      </c>
      <c r="E15">
        <v>2.9331617809825254</v>
      </c>
    </row>
    <row r="16" spans="1:5" x14ac:dyDescent="0.25">
      <c r="A16">
        <v>19</v>
      </c>
      <c r="B16">
        <v>2.7796006176789221</v>
      </c>
      <c r="C16">
        <v>2.8593337743375438</v>
      </c>
      <c r="D16">
        <v>2.3785739738808718</v>
      </c>
      <c r="E16">
        <v>2.5832891138844944</v>
      </c>
    </row>
    <row r="17" spans="1:5" x14ac:dyDescent="0.25">
      <c r="A17">
        <v>20</v>
      </c>
      <c r="B17">
        <v>2.9787381028481819</v>
      </c>
      <c r="C17">
        <v>3.0666870379047446</v>
      </c>
      <c r="D17">
        <v>2.7205285199508165</v>
      </c>
      <c r="E17">
        <v>2.8800962804646395</v>
      </c>
    </row>
    <row r="18" spans="1:5" x14ac:dyDescent="0.25">
      <c r="A18">
        <v>21</v>
      </c>
      <c r="B18">
        <v>2.8861709208228659</v>
      </c>
      <c r="C18">
        <v>2.9771827463082428</v>
      </c>
      <c r="D18">
        <v>3.7059766617043479</v>
      </c>
      <c r="E18">
        <v>3.972656458769221</v>
      </c>
    </row>
    <row r="19" spans="1:5" x14ac:dyDescent="0.25">
      <c r="A19">
        <v>22</v>
      </c>
      <c r="B19">
        <v>3.0348497064692452</v>
      </c>
      <c r="C19">
        <v>3.1016890890169586</v>
      </c>
      <c r="D19">
        <v>3.047372340838626</v>
      </c>
      <c r="E19">
        <v>3.1708719692221767</v>
      </c>
    </row>
    <row r="20" spans="1:5" x14ac:dyDescent="0.25">
      <c r="A20">
        <v>23</v>
      </c>
      <c r="B20">
        <v>2.9972482126042701</v>
      </c>
      <c r="C20">
        <v>3.1446306372860584</v>
      </c>
      <c r="D20">
        <v>3.1892009529501131</v>
      </c>
      <c r="E20">
        <v>3.4196261475425258</v>
      </c>
    </row>
    <row r="21" spans="1:5" x14ac:dyDescent="0.25">
      <c r="A21">
        <v>24</v>
      </c>
      <c r="B21">
        <v>3.1038897088802448</v>
      </c>
      <c r="C21">
        <v>3.2566531415185196</v>
      </c>
      <c r="D21">
        <v>2.8518178338440641</v>
      </c>
      <c r="E21">
        <v>3.0920201462456305</v>
      </c>
    </row>
    <row r="22" spans="1:5" x14ac:dyDescent="0.25">
      <c r="A22">
        <v>25</v>
      </c>
      <c r="B22">
        <v>3.241067001216849</v>
      </c>
      <c r="C22">
        <v>3.3466470646379767</v>
      </c>
      <c r="D22">
        <v>3.1618628159789806</v>
      </c>
      <c r="E22">
        <v>3.3262437947958943</v>
      </c>
    </row>
    <row r="23" spans="1:5" x14ac:dyDescent="0.25">
      <c r="A23">
        <v>26</v>
      </c>
      <c r="B23">
        <v>2.9607077794027257</v>
      </c>
      <c r="C23">
        <v>3.1325433007102483</v>
      </c>
      <c r="D23">
        <v>2.9793603194211049</v>
      </c>
      <c r="E23">
        <v>3.1425282384159803</v>
      </c>
    </row>
    <row r="24" spans="1:5" x14ac:dyDescent="0.25">
      <c r="A24">
        <v>27</v>
      </c>
      <c r="B24">
        <v>3.3046750537834666</v>
      </c>
      <c r="C24">
        <v>3.4669414526523443</v>
      </c>
      <c r="D24">
        <v>3.1287727225232813</v>
      </c>
      <c r="E24">
        <v>3.2388323194215198</v>
      </c>
    </row>
    <row r="25" spans="1:5" x14ac:dyDescent="0.25">
      <c r="A25">
        <v>28</v>
      </c>
      <c r="B25">
        <v>3.3139826288804417</v>
      </c>
      <c r="C25">
        <v>3.3869748612842532</v>
      </c>
      <c r="D25">
        <v>2.7063046386435259</v>
      </c>
      <c r="E25">
        <v>2.7737780868220145</v>
      </c>
    </row>
    <row r="26" spans="1:5" x14ac:dyDescent="0.25">
      <c r="A26">
        <v>29</v>
      </c>
      <c r="B26">
        <v>3.4683959371413029</v>
      </c>
      <c r="C26">
        <v>3.4980423918954173</v>
      </c>
      <c r="D26">
        <v>3.1393593589006143</v>
      </c>
      <c r="E26">
        <v>3.3235030891590465</v>
      </c>
    </row>
    <row r="27" spans="1:5" x14ac:dyDescent="0.25">
      <c r="A27">
        <v>30</v>
      </c>
      <c r="B27">
        <v>3.5427256075492632</v>
      </c>
      <c r="C27">
        <v>3.6644814883029597</v>
      </c>
      <c r="D27">
        <v>3.5488242112954986</v>
      </c>
      <c r="E27">
        <v>3.7564215583237872</v>
      </c>
    </row>
    <row r="28" spans="1:5" x14ac:dyDescent="0.25">
      <c r="A28">
        <v>31</v>
      </c>
      <c r="B28">
        <v>3.5544696126565642</v>
      </c>
      <c r="C28">
        <v>3.607597004269401</v>
      </c>
      <c r="D28">
        <v>3.4349832423367337</v>
      </c>
      <c r="E28">
        <v>3.6397217553896337</v>
      </c>
    </row>
    <row r="29" spans="1:5" x14ac:dyDescent="0.25">
      <c r="A29">
        <v>32</v>
      </c>
      <c r="B29">
        <v>3.58308970134037</v>
      </c>
      <c r="C29">
        <v>3.6611336202056131</v>
      </c>
      <c r="D29">
        <v>3.1046872317832737</v>
      </c>
      <c r="E29">
        <v>3.2987192782231705</v>
      </c>
    </row>
    <row r="30" spans="1:5" x14ac:dyDescent="0.25">
      <c r="A30">
        <v>33</v>
      </c>
      <c r="B30">
        <v>3.6259010530925413</v>
      </c>
      <c r="C30">
        <v>3.6834294250422901</v>
      </c>
      <c r="D30">
        <v>3.0194555397114375</v>
      </c>
      <c r="E30">
        <v>3.1705634589331408</v>
      </c>
    </row>
    <row r="31" spans="1:5" x14ac:dyDescent="0.25">
      <c r="A31">
        <v>34</v>
      </c>
      <c r="B31">
        <v>3.7234844173122537</v>
      </c>
      <c r="C31">
        <v>3.8103850626797122</v>
      </c>
      <c r="D31">
        <v>3.5640541503558292</v>
      </c>
      <c r="E31">
        <v>3.7658764753843532</v>
      </c>
    </row>
    <row r="32" spans="1:5" x14ac:dyDescent="0.25">
      <c r="A32">
        <v>35</v>
      </c>
      <c r="B32">
        <v>3.7332868975253182</v>
      </c>
      <c r="C32">
        <v>3.8068619487207505</v>
      </c>
      <c r="D32">
        <v>2.8703230332580563</v>
      </c>
      <c r="E32">
        <v>2.9785058148023165</v>
      </c>
    </row>
    <row r="33" spans="1:5" x14ac:dyDescent="0.25">
      <c r="A33">
        <v>36</v>
      </c>
      <c r="B33">
        <v>3.4557737868414837</v>
      </c>
      <c r="C33">
        <v>3.6315829976056939</v>
      </c>
      <c r="D33">
        <v>3.7258894095364856</v>
      </c>
      <c r="E33">
        <v>3.9119026576503453</v>
      </c>
    </row>
    <row r="34" spans="1:5" x14ac:dyDescent="0.25">
      <c r="A34">
        <v>37</v>
      </c>
      <c r="B34">
        <v>3.8710434400100624</v>
      </c>
      <c r="C34">
        <v>4.0134653024707756</v>
      </c>
      <c r="D34">
        <v>3.5601852736466624</v>
      </c>
      <c r="E34">
        <v>3.7488483369562946</v>
      </c>
    </row>
    <row r="35" spans="1:5" x14ac:dyDescent="0.25">
      <c r="A35">
        <v>38</v>
      </c>
      <c r="B35">
        <v>3.7752504449875195</v>
      </c>
      <c r="C35">
        <v>3.9625625089661591</v>
      </c>
      <c r="D35">
        <v>3.7629302874802968</v>
      </c>
      <c r="E35">
        <v>3.9525330790621158</v>
      </c>
    </row>
    <row r="36" spans="1:5" x14ac:dyDescent="0.25">
      <c r="A36">
        <v>39</v>
      </c>
      <c r="B36">
        <v>3.7939037593388751</v>
      </c>
      <c r="C36">
        <v>3.9794392053232599</v>
      </c>
      <c r="D36">
        <v>2.626628755750728</v>
      </c>
      <c r="E36">
        <v>2.7370145920798556</v>
      </c>
    </row>
    <row r="37" spans="1:5" x14ac:dyDescent="0.25">
      <c r="A37">
        <v>40</v>
      </c>
      <c r="B37">
        <v>3.8718682526366566</v>
      </c>
      <c r="C37">
        <v>4.055961176052195</v>
      </c>
      <c r="D37">
        <v>2.9661726723122586</v>
      </c>
      <c r="E37">
        <v>3.1143447709195304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AB8D-3F34-4A14-B8F8-ED0190FE5DDD}">
  <dimension ref="A1:E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 x14ac:dyDescent="0.25"/>
  <cols>
    <col min="1" max="1" width="3.7109375" bestFit="1" customWidth="1"/>
    <col min="2" max="2" width="33.42578125" bestFit="1" customWidth="1"/>
    <col min="3" max="3" width="33.7109375" bestFit="1" customWidth="1"/>
    <col min="4" max="4" width="32.140625" bestFit="1" customWidth="1"/>
    <col min="5" max="5" width="28.42578125" bestFit="1" customWidth="1"/>
  </cols>
  <sheetData>
    <row r="1" spans="1:5" x14ac:dyDescent="0.25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</row>
    <row r="2" spans="1:5" x14ac:dyDescent="0.25">
      <c r="A2">
        <v>5</v>
      </c>
      <c r="B2">
        <v>3.4440179463880463</v>
      </c>
      <c r="C2">
        <v>3.6758890961016721</v>
      </c>
      <c r="D2">
        <v>3.9310961362830277</v>
      </c>
      <c r="E2">
        <v>4.3672431017342808</v>
      </c>
    </row>
    <row r="3" spans="1:5" x14ac:dyDescent="0.25">
      <c r="A3">
        <v>6</v>
      </c>
      <c r="B3">
        <v>2.6113887629895629</v>
      </c>
      <c r="C3">
        <v>2.8900027522013843</v>
      </c>
      <c r="D3">
        <v>3.7890156904317704</v>
      </c>
      <c r="E3">
        <v>4.3653808963496772</v>
      </c>
    </row>
    <row r="4" spans="1:5" x14ac:dyDescent="0.25">
      <c r="A4">
        <v>7</v>
      </c>
      <c r="B4">
        <v>2.4473431301655495</v>
      </c>
      <c r="C4">
        <v>2.800372516388693</v>
      </c>
      <c r="D4">
        <v>3.2536683315609056</v>
      </c>
      <c r="E4">
        <v>3.4448559470829796</v>
      </c>
    </row>
    <row r="5" spans="1:5" x14ac:dyDescent="0.25">
      <c r="A5">
        <v>8</v>
      </c>
      <c r="B5">
        <v>2.2947956023165443</v>
      </c>
      <c r="C5">
        <v>2.6195907788880781</v>
      </c>
      <c r="D5">
        <v>3.3032659909941335</v>
      </c>
      <c r="E5">
        <v>3.5727367139396211</v>
      </c>
    </row>
    <row r="6" spans="1:5" x14ac:dyDescent="0.25">
      <c r="A6">
        <v>9</v>
      </c>
      <c r="B6">
        <v>2.587109814745213</v>
      </c>
      <c r="C6">
        <v>2.7455065844856024</v>
      </c>
      <c r="D6">
        <v>3.2096138740112634</v>
      </c>
      <c r="E6">
        <v>3.5617150349157058</v>
      </c>
    </row>
    <row r="7" spans="1:5" x14ac:dyDescent="0.25">
      <c r="A7">
        <v>10</v>
      </c>
      <c r="B7">
        <v>2.2624510897304293</v>
      </c>
      <c r="C7">
        <v>2.3909351071033793</v>
      </c>
      <c r="D7">
        <v>2.8388490907372552</v>
      </c>
      <c r="E7">
        <v>3.0161973535124389</v>
      </c>
    </row>
    <row r="8" spans="1:5" x14ac:dyDescent="0.25">
      <c r="A8">
        <v>11</v>
      </c>
      <c r="B8">
        <v>2.0775418332344717</v>
      </c>
      <c r="C8">
        <v>2.2217344384942144</v>
      </c>
      <c r="D8">
        <v>2.5752729294580674</v>
      </c>
      <c r="E8">
        <v>2.8769522682482385</v>
      </c>
    </row>
    <row r="9" spans="1:5" x14ac:dyDescent="0.25">
      <c r="A9">
        <v>12</v>
      </c>
      <c r="B9">
        <v>2.2490546583471995</v>
      </c>
      <c r="C9">
        <v>2.3462653993083902</v>
      </c>
      <c r="D9">
        <v>2.3102473588519188</v>
      </c>
      <c r="E9">
        <v>2.4665057357233802</v>
      </c>
    </row>
    <row r="10" spans="1:5" x14ac:dyDescent="0.25">
      <c r="A10">
        <v>13</v>
      </c>
      <c r="B10">
        <v>2.1808657341956201</v>
      </c>
      <c r="C10">
        <v>2.2658127561869281</v>
      </c>
      <c r="D10">
        <v>3.0984094731982572</v>
      </c>
      <c r="E10">
        <v>3.3872036437784043</v>
      </c>
    </row>
    <row r="11" spans="1:5" x14ac:dyDescent="0.25">
      <c r="A11">
        <v>14</v>
      </c>
      <c r="B11">
        <v>2.3169171939069044</v>
      </c>
      <c r="C11">
        <v>2.400954220662217</v>
      </c>
      <c r="D11">
        <v>2.6688443638268957</v>
      </c>
      <c r="E11">
        <v>2.8734820126787599</v>
      </c>
    </row>
    <row r="12" spans="1:5" x14ac:dyDescent="0.25">
      <c r="A12">
        <v>15</v>
      </c>
      <c r="B12">
        <v>2.2688707063153775</v>
      </c>
      <c r="C12">
        <v>2.3372602083460214</v>
      </c>
      <c r="D12">
        <v>2.3204482943410811</v>
      </c>
      <c r="E12">
        <v>2.5329159045460852</v>
      </c>
    </row>
    <row r="13" spans="1:5" x14ac:dyDescent="0.25">
      <c r="A13">
        <v>16</v>
      </c>
      <c r="B13">
        <v>2.2643171433804135</v>
      </c>
      <c r="C13">
        <v>2.2910604700800983</v>
      </c>
      <c r="D13">
        <v>2.593559552269995</v>
      </c>
      <c r="E13">
        <v>2.7458813382916083</v>
      </c>
    </row>
    <row r="14" spans="1:5" x14ac:dyDescent="0.25">
      <c r="A14">
        <v>17</v>
      </c>
      <c r="B14">
        <v>2.1981204723093359</v>
      </c>
      <c r="C14">
        <v>2.2099030926280641</v>
      </c>
      <c r="D14">
        <v>2.6010021200357332</v>
      </c>
      <c r="E14">
        <v>2.7989983842969774</v>
      </c>
    </row>
    <row r="15" spans="1:5" x14ac:dyDescent="0.25">
      <c r="A15">
        <v>18</v>
      </c>
      <c r="B15">
        <v>2.1800238479709093</v>
      </c>
      <c r="C15">
        <v>2.26076055109522</v>
      </c>
      <c r="D15">
        <v>2.121343727297575</v>
      </c>
      <c r="E15">
        <v>2.3366733271522846</v>
      </c>
    </row>
    <row r="16" spans="1:5" x14ac:dyDescent="0.25">
      <c r="A16">
        <v>19</v>
      </c>
      <c r="B16">
        <v>2.1736796014554938</v>
      </c>
      <c r="C16">
        <v>2.2360318455463104</v>
      </c>
      <c r="D16">
        <v>1.8600721609765489</v>
      </c>
      <c r="E16">
        <v>2.020161751223712</v>
      </c>
    </row>
    <row r="17" spans="1:5" x14ac:dyDescent="0.25">
      <c r="A17">
        <v>20</v>
      </c>
      <c r="B17">
        <v>2.2895230031402787</v>
      </c>
      <c r="C17">
        <v>2.3571224707541503</v>
      </c>
      <c r="D17">
        <v>2.091057492154432</v>
      </c>
      <c r="E17">
        <v>2.2137047493626625</v>
      </c>
    </row>
    <row r="18" spans="1:5" x14ac:dyDescent="0.25">
      <c r="A18">
        <v>21</v>
      </c>
      <c r="B18">
        <v>2.1828231763957682</v>
      </c>
      <c r="C18">
        <v>2.2516558018519652</v>
      </c>
      <c r="D18">
        <v>2.8028456977328644</v>
      </c>
      <c r="E18">
        <v>3.0045367471124904</v>
      </c>
    </row>
    <row r="19" spans="1:5" x14ac:dyDescent="0.25">
      <c r="A19">
        <v>22</v>
      </c>
      <c r="B19">
        <v>2.2607258874756662</v>
      </c>
      <c r="C19">
        <v>2.3105160046292115</v>
      </c>
      <c r="D19">
        <v>2.2700542715593675</v>
      </c>
      <c r="E19">
        <v>2.3620518444161593</v>
      </c>
    </row>
    <row r="20" spans="1:5" x14ac:dyDescent="0.25">
      <c r="A20">
        <v>23</v>
      </c>
      <c r="B20">
        <v>2.2010626010038816</v>
      </c>
      <c r="C20">
        <v>2.3092945257567838</v>
      </c>
      <c r="D20">
        <v>2.3420252333807108</v>
      </c>
      <c r="E20">
        <v>2.5112405409463525</v>
      </c>
    </row>
    <row r="21" spans="1:5" x14ac:dyDescent="0.25">
      <c r="A21">
        <v>24</v>
      </c>
      <c r="B21">
        <v>2.2488512012343111</v>
      </c>
      <c r="C21">
        <v>2.3595323984464365</v>
      </c>
      <c r="D21">
        <v>2.0662183785052441</v>
      </c>
      <c r="E21">
        <v>2.2402513852960673</v>
      </c>
    </row>
    <row r="22" spans="1:5" x14ac:dyDescent="0.25">
      <c r="A22">
        <v>25</v>
      </c>
      <c r="B22">
        <v>2.3184592908930872</v>
      </c>
      <c r="C22">
        <v>2.3939847517613422</v>
      </c>
      <c r="D22">
        <v>2.2618015053325267</v>
      </c>
      <c r="E22">
        <v>2.3793895118257855</v>
      </c>
    </row>
    <row r="23" spans="1:5" x14ac:dyDescent="0.25">
      <c r="A23">
        <v>26</v>
      </c>
      <c r="B23">
        <v>2.0924124003103035</v>
      </c>
      <c r="C23">
        <v>2.213853218650768</v>
      </c>
      <c r="D23">
        <v>2.105594655682907</v>
      </c>
      <c r="E23">
        <v>2.2209098446430886</v>
      </c>
    </row>
    <row r="24" spans="1:5" x14ac:dyDescent="0.25">
      <c r="A24">
        <v>27</v>
      </c>
      <c r="B24">
        <v>2.308759755229072</v>
      </c>
      <c r="C24">
        <v>2.4221246474612146</v>
      </c>
      <c r="D24">
        <v>2.185868331214619</v>
      </c>
      <c r="E24">
        <v>2.2627597543832816</v>
      </c>
    </row>
    <row r="25" spans="1:5" x14ac:dyDescent="0.25">
      <c r="A25">
        <v>28</v>
      </c>
      <c r="B25">
        <v>2.2899935992524387</v>
      </c>
      <c r="C25">
        <v>2.3404319279096844</v>
      </c>
      <c r="D25">
        <v>1.8700823130791497</v>
      </c>
      <c r="E25">
        <v>1.9167071092086423</v>
      </c>
    </row>
    <row r="26" spans="1:5" x14ac:dyDescent="0.25">
      <c r="A26">
        <v>29</v>
      </c>
      <c r="B26">
        <v>2.3717181930803974</v>
      </c>
      <c r="C26">
        <v>2.3919906871597845</v>
      </c>
      <c r="D26">
        <v>2.146720224871046</v>
      </c>
      <c r="E26">
        <v>2.2726392500085209</v>
      </c>
    </row>
    <row r="27" spans="1:5" x14ac:dyDescent="0.25">
      <c r="A27">
        <v>30</v>
      </c>
      <c r="B27">
        <v>2.3983986394005443</v>
      </c>
      <c r="C27">
        <v>2.4808264565920344</v>
      </c>
      <c r="D27">
        <v>2.4025273483516543</v>
      </c>
      <c r="E27">
        <v>2.5430691937587109</v>
      </c>
    </row>
    <row r="28" spans="1:5" x14ac:dyDescent="0.25">
      <c r="A28">
        <v>31</v>
      </c>
      <c r="B28">
        <v>2.3833719394508961</v>
      </c>
      <c r="C28">
        <v>2.4189953511507416</v>
      </c>
      <c r="D28">
        <v>2.3032529644136384</v>
      </c>
      <c r="E28">
        <v>2.4405359011414283</v>
      </c>
    </row>
    <row r="29" spans="1:5" x14ac:dyDescent="0.25">
      <c r="A29">
        <v>32</v>
      </c>
      <c r="B29">
        <v>2.3805532690768283</v>
      </c>
      <c r="C29">
        <v>2.4324045264195404</v>
      </c>
      <c r="D29">
        <v>2.0627095482197855</v>
      </c>
      <c r="E29">
        <v>2.1916216494952221</v>
      </c>
    </row>
    <row r="30" spans="1:5" x14ac:dyDescent="0.25">
      <c r="A30">
        <v>33</v>
      </c>
      <c r="B30">
        <v>2.387795698065255</v>
      </c>
      <c r="C30">
        <v>2.4256803499205914</v>
      </c>
      <c r="D30">
        <v>1.9884279362982005</v>
      </c>
      <c r="E30">
        <v>2.0879383294881735</v>
      </c>
    </row>
    <row r="31" spans="1:5" x14ac:dyDescent="0.25">
      <c r="A31">
        <v>34</v>
      </c>
      <c r="B31">
        <v>2.4312998212887047</v>
      </c>
      <c r="C31">
        <v>2.4880427802680485</v>
      </c>
      <c r="D31">
        <v>2.3271976588741334</v>
      </c>
      <c r="E31">
        <v>2.4589802924988282</v>
      </c>
    </row>
    <row r="32" spans="1:5" x14ac:dyDescent="0.25">
      <c r="A32">
        <v>35</v>
      </c>
      <c r="B32">
        <v>2.4178253744615499</v>
      </c>
      <c r="C32">
        <v>2.4654755097419492</v>
      </c>
      <c r="D32">
        <v>1.8589355849701896</v>
      </c>
      <c r="E32">
        <v>1.9289990656180143</v>
      </c>
    </row>
    <row r="33" spans="1:5" x14ac:dyDescent="0.25">
      <c r="A33">
        <v>36</v>
      </c>
      <c r="B33">
        <v>2.220502624096357</v>
      </c>
      <c r="C33">
        <v>2.3334685871257372</v>
      </c>
      <c r="D33">
        <v>2.3940650405043686</v>
      </c>
      <c r="E33">
        <v>2.5135875934927183</v>
      </c>
    </row>
    <row r="34" spans="1:5" x14ac:dyDescent="0.25">
      <c r="A34">
        <v>37</v>
      </c>
      <c r="B34">
        <v>2.4684601353267532</v>
      </c>
      <c r="C34">
        <v>2.5592787208919794</v>
      </c>
      <c r="D34">
        <v>2.2702342555864758</v>
      </c>
      <c r="E34">
        <v>2.3905396094285511</v>
      </c>
    </row>
    <row r="35" spans="1:5" x14ac:dyDescent="0.25">
      <c r="A35">
        <v>38</v>
      </c>
      <c r="B35">
        <v>2.3897263226890173</v>
      </c>
      <c r="C35">
        <v>2.5082945015077986</v>
      </c>
      <c r="D35">
        <v>2.3819276865127668</v>
      </c>
      <c r="E35">
        <v>2.5019458915301271</v>
      </c>
    </row>
    <row r="36" spans="1:5" x14ac:dyDescent="0.25">
      <c r="A36">
        <v>39</v>
      </c>
      <c r="B36">
        <v>2.3845064132431473</v>
      </c>
      <c r="C36">
        <v>2.5011172945141018</v>
      </c>
      <c r="D36">
        <v>1.6508624125952802</v>
      </c>
      <c r="E36">
        <v>1.7202410134651875</v>
      </c>
    </row>
    <row r="37" spans="1:5" x14ac:dyDescent="0.25">
      <c r="A37">
        <v>40</v>
      </c>
      <c r="B37">
        <v>2.4168060332292733</v>
      </c>
      <c r="C37">
        <v>2.5317161641931847</v>
      </c>
      <c r="D37">
        <v>1.8514741572527325</v>
      </c>
      <c r="E37">
        <v>1.9439626404614359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77AE-13F6-4EFC-8C52-25E32CF07102}">
  <dimension ref="A1:E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.75" x14ac:dyDescent="0.25"/>
  <cols>
    <col min="1" max="1" width="3.7109375" bestFit="1" customWidth="1"/>
    <col min="2" max="2" width="33.42578125" bestFit="1" customWidth="1"/>
    <col min="3" max="3" width="33.7109375" bestFit="1" customWidth="1"/>
    <col min="4" max="4" width="32.140625" bestFit="1" customWidth="1"/>
    <col min="5" max="5" width="28.42578125" bestFit="1" customWidth="1"/>
  </cols>
  <sheetData>
    <row r="1" spans="1:5" x14ac:dyDescent="0.25">
      <c r="A1" s="2" t="s">
        <v>0</v>
      </c>
      <c r="B1" s="2" t="s">
        <v>38</v>
      </c>
      <c r="C1" s="2" t="s">
        <v>39</v>
      </c>
      <c r="D1" s="2" t="s">
        <v>40</v>
      </c>
      <c r="E1" s="2" t="s">
        <v>41</v>
      </c>
    </row>
    <row r="2" spans="1:5" x14ac:dyDescent="0.25">
      <c r="A2">
        <v>5</v>
      </c>
      <c r="B2">
        <v>7.0493378985012001</v>
      </c>
      <c r="C2">
        <v>7.5239399791783779</v>
      </c>
      <c r="D2">
        <v>8.0463067868779454</v>
      </c>
      <c r="E2">
        <v>8.9390278413940187</v>
      </c>
    </row>
    <row r="3" spans="1:5" x14ac:dyDescent="0.25">
      <c r="A3">
        <v>6</v>
      </c>
      <c r="B3">
        <v>4.3126428301909812</v>
      </c>
      <c r="C3">
        <v>4.7727668224492996</v>
      </c>
      <c r="D3">
        <v>6.2574640675540874</v>
      </c>
      <c r="E3">
        <v>7.2093167017163715</v>
      </c>
    </row>
    <row r="4" spans="1:5" x14ac:dyDescent="0.25">
      <c r="A4">
        <v>7</v>
      </c>
      <c r="B4">
        <v>3.4267362199441402</v>
      </c>
      <c r="C4">
        <v>3.9210431152725702</v>
      </c>
      <c r="D4">
        <v>4.5557416865737066</v>
      </c>
      <c r="E4">
        <v>4.8234399585646592</v>
      </c>
    </row>
    <row r="5" spans="1:5" x14ac:dyDescent="0.25">
      <c r="A5">
        <v>8</v>
      </c>
      <c r="B5">
        <v>2.8137269792832216</v>
      </c>
      <c r="C5">
        <v>3.2119693979708974</v>
      </c>
      <c r="D5">
        <v>4.0502468408194368</v>
      </c>
      <c r="E5">
        <v>4.3806540642398017</v>
      </c>
    </row>
    <row r="6" spans="1:5" x14ac:dyDescent="0.25">
      <c r="A6">
        <v>9</v>
      </c>
      <c r="B6">
        <v>2.8411708124681234</v>
      </c>
      <c r="C6">
        <v>3.0151225621815185</v>
      </c>
      <c r="D6">
        <v>3.5248064099017067</v>
      </c>
      <c r="E6">
        <v>3.9114848321689748</v>
      </c>
    </row>
    <row r="7" spans="1:5" x14ac:dyDescent="0.25">
      <c r="A7">
        <v>10</v>
      </c>
      <c r="B7">
        <v>2.2624510897304293</v>
      </c>
      <c r="C7">
        <v>2.3909351071033793</v>
      </c>
      <c r="D7">
        <v>2.8388490907372552</v>
      </c>
      <c r="E7">
        <v>3.0161973535124389</v>
      </c>
    </row>
    <row r="8" spans="1:5" x14ac:dyDescent="0.25">
      <c r="A8">
        <v>11</v>
      </c>
      <c r="B8">
        <v>1.9156701487197647</v>
      </c>
      <c r="C8">
        <v>2.0486279862676966</v>
      </c>
      <c r="D8">
        <v>2.3746205235676423</v>
      </c>
      <c r="E8">
        <v>2.6527945148494934</v>
      </c>
    </row>
    <row r="9" spans="1:5" x14ac:dyDescent="0.25">
      <c r="A9">
        <v>12</v>
      </c>
      <c r="B9">
        <v>1.9311287564227995</v>
      </c>
      <c r="C9">
        <v>2.0145978071222075</v>
      </c>
      <c r="D9">
        <v>1.9836712694245395</v>
      </c>
      <c r="E9">
        <v>2.1178409944192116</v>
      </c>
    </row>
    <row r="10" spans="1:5" x14ac:dyDescent="0.25">
      <c r="A10">
        <v>13</v>
      </c>
      <c r="B10">
        <v>1.7575298778281991</v>
      </c>
      <c r="C10">
        <v>1.8259875214333519</v>
      </c>
      <c r="D10">
        <v>2.4969658321952481</v>
      </c>
      <c r="E10">
        <v>2.729701105797238</v>
      </c>
    </row>
    <row r="11" spans="1:5" x14ac:dyDescent="0.25">
      <c r="A11">
        <v>14</v>
      </c>
      <c r="B11">
        <v>1.763779296259244</v>
      </c>
      <c r="C11">
        <v>1.8277534289127568</v>
      </c>
      <c r="D11">
        <v>2.0316878161357339</v>
      </c>
      <c r="E11">
        <v>2.1874705300062542</v>
      </c>
    </row>
    <row r="12" spans="1:5" x14ac:dyDescent="0.25">
      <c r="A12">
        <v>15</v>
      </c>
      <c r="B12">
        <v>1.6403166887564806</v>
      </c>
      <c r="C12">
        <v>1.6897599828165419</v>
      </c>
      <c r="D12">
        <v>1.6776055383012674</v>
      </c>
      <c r="E12">
        <v>1.8312124255819704</v>
      </c>
    </row>
    <row r="13" spans="1:5" x14ac:dyDescent="0.25">
      <c r="A13">
        <v>16</v>
      </c>
      <c r="B13">
        <v>1.5617004207793843</v>
      </c>
      <c r="C13">
        <v>1.5801453036801898</v>
      </c>
      <c r="D13">
        <v>1.788779039163052</v>
      </c>
      <c r="E13">
        <v>1.8938354346504291</v>
      </c>
    </row>
    <row r="14" spans="1:5" x14ac:dyDescent="0.25">
      <c r="A14">
        <v>17</v>
      </c>
      <c r="B14">
        <v>1.4518585661036751</v>
      </c>
      <c r="C14">
        <v>1.4596409867928017</v>
      </c>
      <c r="D14">
        <v>1.7179618933535281</v>
      </c>
      <c r="E14">
        <v>1.8487384253705414</v>
      </c>
    </row>
    <row r="15" spans="1:5" x14ac:dyDescent="0.25">
      <c r="A15">
        <v>18</v>
      </c>
      <c r="B15">
        <v>1.383519267896661</v>
      </c>
      <c r="C15">
        <v>1.4347575993043213</v>
      </c>
      <c r="D15">
        <v>1.3462788140045516</v>
      </c>
      <c r="E15">
        <v>1.4829344981268864</v>
      </c>
    </row>
    <row r="16" spans="1:5" x14ac:dyDescent="0.25">
      <c r="A16">
        <v>19</v>
      </c>
      <c r="B16">
        <v>1.3292962832330149</v>
      </c>
      <c r="C16">
        <v>1.3674272967759773</v>
      </c>
      <c r="D16">
        <v>1.1375121745061632</v>
      </c>
      <c r="E16">
        <v>1.23541367625341</v>
      </c>
    </row>
    <row r="17" spans="1:5" x14ac:dyDescent="0.25">
      <c r="A17">
        <v>20</v>
      </c>
      <c r="B17">
        <v>1.3526031433175465</v>
      </c>
      <c r="C17">
        <v>1.3925395196962527</v>
      </c>
      <c r="D17">
        <v>1.235353797654112</v>
      </c>
      <c r="E17">
        <v>1.3078112769594483</v>
      </c>
    </row>
    <row r="18" spans="1:5" x14ac:dyDescent="0.25">
      <c r="A18">
        <v>21</v>
      </c>
      <c r="B18">
        <v>1.2485662045271968</v>
      </c>
      <c r="C18">
        <v>1.2879381934463321</v>
      </c>
      <c r="D18">
        <v>1.6032166290592853</v>
      </c>
      <c r="E18">
        <v>1.7185831098325171</v>
      </c>
    </row>
    <row r="19" spans="1:5" x14ac:dyDescent="0.25">
      <c r="A19">
        <v>22</v>
      </c>
      <c r="B19">
        <v>1.2544961855863976</v>
      </c>
      <c r="C19">
        <v>1.2821251486531084</v>
      </c>
      <c r="D19">
        <v>1.2596725859255624</v>
      </c>
      <c r="E19">
        <v>1.310722828182451</v>
      </c>
    </row>
    <row r="20" spans="1:5" x14ac:dyDescent="0.25">
      <c r="A20">
        <v>23</v>
      </c>
      <c r="B20">
        <v>1.1870028565097288</v>
      </c>
      <c r="C20">
        <v>1.2453708483099832</v>
      </c>
      <c r="D20">
        <v>1.2630220697824965</v>
      </c>
      <c r="E20">
        <v>1.3542775630855854</v>
      </c>
    </row>
    <row r="21" spans="1:5" x14ac:dyDescent="0.25">
      <c r="A21">
        <v>24</v>
      </c>
      <c r="B21">
        <v>1.1805098085054637</v>
      </c>
      <c r="C21">
        <v>1.2386106907934191</v>
      </c>
      <c r="D21">
        <v>1.0846387084218441</v>
      </c>
      <c r="E21">
        <v>1.1759954293144947</v>
      </c>
    </row>
    <row r="22" spans="1:5" x14ac:dyDescent="0.25">
      <c r="A22">
        <v>25</v>
      </c>
      <c r="B22">
        <v>1.1863761455254176</v>
      </c>
      <c r="C22">
        <v>1.2250231925129864</v>
      </c>
      <c r="D22">
        <v>1.1573838550369135</v>
      </c>
      <c r="E22">
        <v>1.2175546790196594</v>
      </c>
    </row>
    <row r="23" spans="1:5" x14ac:dyDescent="0.25">
      <c r="A23">
        <v>26</v>
      </c>
      <c r="B23">
        <v>1.0450829578112169</v>
      </c>
      <c r="C23">
        <v>1.1057381754974842</v>
      </c>
      <c r="D23">
        <v>1.0516670090400186</v>
      </c>
      <c r="E23">
        <v>1.1092627003775357</v>
      </c>
    </row>
    <row r="24" spans="1:5" x14ac:dyDescent="0.25">
      <c r="A24">
        <v>27</v>
      </c>
      <c r="B24">
        <v>1.126882686218095</v>
      </c>
      <c r="C24">
        <v>1.1822149632088237</v>
      </c>
      <c r="D24">
        <v>1.066900603763252</v>
      </c>
      <c r="E24">
        <v>1.1044305430699242</v>
      </c>
    </row>
    <row r="25" spans="1:5" x14ac:dyDescent="0.25">
      <c r="A25">
        <v>28</v>
      </c>
      <c r="B25">
        <v>1.0934586137632218</v>
      </c>
      <c r="C25">
        <v>1.1175426220993543</v>
      </c>
      <c r="D25">
        <v>0.89295341888736468</v>
      </c>
      <c r="E25">
        <v>0.91521648763977992</v>
      </c>
    </row>
    <row r="26" spans="1:5" x14ac:dyDescent="0.25">
      <c r="A26">
        <v>29</v>
      </c>
      <c r="B26">
        <v>1.1090009479331395</v>
      </c>
      <c r="C26">
        <v>1.1184802424026943</v>
      </c>
      <c r="D26">
        <v>1.0037932715931779</v>
      </c>
      <c r="E26">
        <v>1.0626722390218106</v>
      </c>
    </row>
    <row r="27" spans="1:5" x14ac:dyDescent="0.25">
      <c r="A27">
        <v>30</v>
      </c>
      <c r="B27">
        <v>1.0992312701327436</v>
      </c>
      <c r="C27">
        <v>1.1370094912746291</v>
      </c>
      <c r="D27">
        <v>1.1011235352090243</v>
      </c>
      <c r="E27">
        <v>1.1655365100563633</v>
      </c>
    </row>
    <row r="28" spans="1:5" x14ac:dyDescent="0.25">
      <c r="A28">
        <v>31</v>
      </c>
      <c r="B28">
        <v>1.0715830960713937</v>
      </c>
      <c r="C28">
        <v>1.087599667035446</v>
      </c>
      <c r="D28">
        <v>1.0355609637707714</v>
      </c>
      <c r="E28">
        <v>1.0972844706819214</v>
      </c>
    </row>
    <row r="29" spans="1:5" x14ac:dyDescent="0.25">
      <c r="A29">
        <v>32</v>
      </c>
      <c r="B29">
        <v>1.0507958542110798</v>
      </c>
      <c r="C29">
        <v>1.0736834270115334</v>
      </c>
      <c r="D29">
        <v>0.91049701339029709</v>
      </c>
      <c r="E29">
        <v>0.96739987850887454</v>
      </c>
    </row>
    <row r="30" spans="1:5" x14ac:dyDescent="0.25">
      <c r="A30">
        <v>33</v>
      </c>
      <c r="B30">
        <v>1.0355226419280452</v>
      </c>
      <c r="C30">
        <v>1.0519521944268411</v>
      </c>
      <c r="D30">
        <v>0.86232760681637333</v>
      </c>
      <c r="E30">
        <v>0.90548258248655877</v>
      </c>
    </row>
    <row r="31" spans="1:5" x14ac:dyDescent="0.25">
      <c r="A31">
        <v>34</v>
      </c>
      <c r="B31">
        <v>1.0366125755740403</v>
      </c>
      <c r="C31">
        <v>1.0608055872043756</v>
      </c>
      <c r="D31">
        <v>0.99222742415894405</v>
      </c>
      <c r="E31">
        <v>1.048414462080584</v>
      </c>
    </row>
    <row r="32" spans="1:5" x14ac:dyDescent="0.25">
      <c r="A32">
        <v>35</v>
      </c>
      <c r="B32">
        <v>1.0141263358468096</v>
      </c>
      <c r="C32">
        <v>1.0341125836564877</v>
      </c>
      <c r="D32">
        <v>0.77970706787742983</v>
      </c>
      <c r="E32">
        <v>0.80909431050320313</v>
      </c>
    </row>
    <row r="33" spans="1:5" x14ac:dyDescent="0.25">
      <c r="A33">
        <v>36</v>
      </c>
      <c r="B33">
        <v>0.91677605197572865</v>
      </c>
      <c r="C33">
        <v>0.96341616330451274</v>
      </c>
      <c r="D33">
        <v>0.98843454278731147</v>
      </c>
      <c r="E33">
        <v>1.0377816649485885</v>
      </c>
    </row>
    <row r="34" spans="1:5" x14ac:dyDescent="0.25">
      <c r="A34">
        <v>37</v>
      </c>
      <c r="B34">
        <v>1.0037423861270895</v>
      </c>
      <c r="C34">
        <v>1.0406716694788176</v>
      </c>
      <c r="D34">
        <v>0.92313840363809951</v>
      </c>
      <c r="E34">
        <v>0.97205780128246277</v>
      </c>
    </row>
    <row r="35" spans="1:5" x14ac:dyDescent="0.25">
      <c r="A35">
        <v>38</v>
      </c>
      <c r="B35">
        <v>0.9575312734136292</v>
      </c>
      <c r="C35">
        <v>1.0050399517810045</v>
      </c>
      <c r="D35">
        <v>0.95440646453579425</v>
      </c>
      <c r="E35">
        <v>1.0024961489452531</v>
      </c>
    </row>
    <row r="36" spans="1:5" x14ac:dyDescent="0.25">
      <c r="A36">
        <v>39</v>
      </c>
      <c r="B36">
        <v>0.94193918647100439</v>
      </c>
      <c r="C36">
        <v>0.98800337737776589</v>
      </c>
      <c r="D36">
        <v>0.65213160646550705</v>
      </c>
      <c r="E36">
        <v>0.67953787490703932</v>
      </c>
    </row>
    <row r="37" spans="1:5" x14ac:dyDescent="0.25">
      <c r="A37">
        <v>40</v>
      </c>
      <c r="B37">
        <v>0.94163858667695199</v>
      </c>
      <c r="C37">
        <v>0.98640999647484184</v>
      </c>
      <c r="D37">
        <v>0.72137336829420762</v>
      </c>
      <c r="E37">
        <v>0.75740883138686221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testResult</vt:lpstr>
      <vt:lpstr>overLogN</vt:lpstr>
      <vt:lpstr>overLogN^2</vt:lpstr>
      <vt:lpstr>overLogN^3</vt:lpstr>
      <vt:lpstr>overLogN^4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Chaokuo Mao_outlook</dc:creator>
  <cp:lastModifiedBy>Chaokuo Mao_outlook</cp:lastModifiedBy>
  <dcterms:created xsi:type="dcterms:W3CDTF">2015-06-05T18:19:34Z</dcterms:created>
  <dcterms:modified xsi:type="dcterms:W3CDTF">2026-06-13T13:03:33Z</dcterms:modified>
</cp:coreProperties>
</file>